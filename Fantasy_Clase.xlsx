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cano.ILERNAMADJC\Desktop\Curso 26-27\GF\"/>
    </mc:Choice>
  </mc:AlternateContent>
  <xr:revisionPtr revIDLastSave="0" documentId="13_ncr:1_{3A9974AA-B0CA-452A-8577-826239C713C8}" xr6:coauthVersionLast="47" xr6:coauthVersionMax="47" xr10:uidLastSave="{00000000-0000-0000-0000-000000000000}"/>
  <bookViews>
    <workbookView xWindow="-120" yWindow="-120" windowWidth="20730" windowHeight="11160" tabRatio="500" activeTab="2" xr2:uid="{00000000-000D-0000-FFFF-FFFF00000000}"/>
  </bookViews>
  <sheets>
    <sheet name="Instrucciones" sheetId="1" r:id="rId1"/>
    <sheet name="Alumnos" sheetId="2" r:id="rId2"/>
    <sheet name="Config_Puntos" sheetId="3" r:id="rId3"/>
    <sheet name="Calendario" sheetId="4" r:id="rId4"/>
    <sheet name="Eventos" sheetId="5" r:id="rId5"/>
    <sheet name="Plantillas" sheetId="7" r:id="rId6"/>
    <sheet name="Puntos_Jornada" sheetId="6" r:id="rId7"/>
    <sheet name="Clasificacion" sheetId="8" r:id="rId8"/>
    <sheet name="Clasificacion_General" sheetId="9" r:id="rId9"/>
    <sheet name="Validacion_Seleccion" sheetId="10" r:id="rId10"/>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P135" i="7" l="1"/>
  <c r="P136" i="7"/>
  <c r="P137" i="7"/>
  <c r="P138" i="7"/>
  <c r="P139" i="7"/>
  <c r="P140" i="7"/>
  <c r="P141" i="7"/>
  <c r="P142" i="7"/>
  <c r="P143" i="7"/>
  <c r="P144" i="7"/>
  <c r="P145" i="7"/>
  <c r="P146" i="7"/>
  <c r="P147" i="7"/>
  <c r="P148" i="7"/>
  <c r="P149" i="7"/>
  <c r="P150" i="7"/>
  <c r="P151" i="7"/>
  <c r="P152" i="7"/>
  <c r="P153" i="7"/>
  <c r="P154" i="7"/>
  <c r="P155" i="7"/>
  <c r="P156" i="7"/>
  <c r="P157" i="7"/>
  <c r="P158" i="7"/>
  <c r="P159"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P187" i="7"/>
  <c r="P188" i="7"/>
  <c r="P189" i="7"/>
  <c r="P190" i="7"/>
  <c r="P191" i="7"/>
  <c r="P192" i="7"/>
  <c r="P193" i="7"/>
  <c r="P194" i="7"/>
  <c r="P195" i="7"/>
  <c r="P196" i="7"/>
  <c r="P197" i="7"/>
  <c r="P198" i="7"/>
  <c r="P199" i="7"/>
  <c r="P200" i="7"/>
  <c r="P201" i="7"/>
  <c r="P202" i="7"/>
  <c r="P203" i="7"/>
  <c r="P204" i="7"/>
  <c r="P205" i="7"/>
  <c r="P206" i="7"/>
  <c r="P207" i="7"/>
  <c r="P208" i="7"/>
  <c r="P209" i="7"/>
  <c r="P210" i="7"/>
  <c r="P211" i="7"/>
  <c r="P212" i="7"/>
  <c r="P213" i="7"/>
  <c r="P214" i="7"/>
  <c r="P215" i="7"/>
  <c r="P216" i="7"/>
  <c r="P217" i="7"/>
  <c r="P218" i="7"/>
  <c r="P219" i="7"/>
  <c r="P220" i="7"/>
  <c r="P221" i="7"/>
  <c r="P222" i="7"/>
  <c r="P223" i="7"/>
  <c r="P224" i="7"/>
  <c r="P225" i="7"/>
  <c r="P226" i="7"/>
  <c r="P227" i="7"/>
  <c r="P228" i="7"/>
  <c r="P229" i="7"/>
  <c r="P230" i="7"/>
  <c r="P231" i="7"/>
  <c r="P232" i="7"/>
  <c r="P233" i="7"/>
  <c r="P234" i="7"/>
  <c r="P235" i="7"/>
  <c r="P236" i="7"/>
  <c r="P237" i="7"/>
  <c r="P238" i="7"/>
  <c r="P239" i="7"/>
  <c r="P240" i="7"/>
  <c r="P241" i="7"/>
  <c r="P242" i="7"/>
  <c r="P243" i="7"/>
  <c r="P244" i="7"/>
  <c r="P245" i="7"/>
  <c r="P246" i="7"/>
  <c r="P247" i="7"/>
  <c r="P248" i="7"/>
  <c r="P249" i="7"/>
  <c r="P250" i="7"/>
  <c r="P251" i="7"/>
  <c r="P252" i="7"/>
  <c r="P253" i="7"/>
  <c r="P254" i="7"/>
  <c r="P255" i="7"/>
  <c r="P256" i="7"/>
  <c r="P257" i="7"/>
  <c r="P258" i="7"/>
  <c r="P259" i="7"/>
  <c r="P260" i="7"/>
  <c r="P261" i="7"/>
  <c r="P262" i="7"/>
  <c r="P263" i="7"/>
  <c r="P264" i="7"/>
  <c r="P265" i="7"/>
  <c r="P266" i="7"/>
  <c r="P267" i="7"/>
  <c r="P268" i="7"/>
  <c r="P269" i="7"/>
  <c r="P270" i="7"/>
  <c r="P271" i="7"/>
  <c r="P272" i="7"/>
  <c r="P273" i="7"/>
  <c r="P274" i="7"/>
  <c r="P275" i="7"/>
  <c r="P276" i="7"/>
  <c r="P277" i="7"/>
  <c r="P278" i="7"/>
  <c r="P279" i="7"/>
  <c r="P280" i="7"/>
  <c r="P281" i="7"/>
  <c r="P282" i="7"/>
  <c r="P283" i="7"/>
  <c r="P284" i="7"/>
  <c r="P285" i="7"/>
  <c r="P286" i="7"/>
  <c r="P287" i="7"/>
  <c r="P288" i="7"/>
  <c r="P289" i="7"/>
  <c r="P3" i="7"/>
  <c r="P4" i="7"/>
  <c r="P5" i="7"/>
  <c r="P6" i="7"/>
  <c r="P7"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P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76" i="7"/>
  <c r="P77" i="7"/>
  <c r="P78" i="7"/>
  <c r="P79" i="7"/>
  <c r="P80" i="7"/>
  <c r="P81" i="7"/>
  <c r="P82" i="7"/>
  <c r="P83" i="7"/>
  <c r="P84" i="7"/>
  <c r="P85" i="7"/>
  <c r="P86" i="7"/>
  <c r="P87" i="7"/>
  <c r="P88" i="7"/>
  <c r="P89" i="7"/>
  <c r="P90" i="7"/>
  <c r="P91" i="7"/>
  <c r="P92" i="7"/>
  <c r="P93" i="7"/>
  <c r="P94" i="7"/>
  <c r="P95" i="7"/>
  <c r="P96" i="7"/>
  <c r="P97" i="7"/>
  <c r="P98" i="7"/>
  <c r="P99" i="7"/>
  <c r="P100" i="7"/>
  <c r="P101" i="7"/>
  <c r="P102" i="7"/>
  <c r="P103" i="7"/>
  <c r="P104" i="7"/>
  <c r="P105" i="7"/>
  <c r="P106" i="7"/>
  <c r="P107" i="7"/>
  <c r="P108" i="7"/>
  <c r="P109" i="7"/>
  <c r="P110" i="7"/>
  <c r="P111" i="7"/>
  <c r="P112" i="7"/>
  <c r="P113" i="7"/>
  <c r="P114" i="7"/>
  <c r="P115" i="7"/>
  <c r="P116" i="7"/>
  <c r="P117" i="7"/>
  <c r="P118" i="7"/>
  <c r="P119" i="7"/>
  <c r="P120" i="7"/>
  <c r="P121" i="7"/>
  <c r="P122" i="7"/>
  <c r="P123" i="7"/>
  <c r="P124" i="7"/>
  <c r="P125" i="7"/>
  <c r="P126" i="7"/>
  <c r="P127" i="7"/>
  <c r="P128" i="7"/>
  <c r="P129" i="7"/>
  <c r="P130" i="7"/>
  <c r="P131" i="7"/>
  <c r="P132" i="7"/>
  <c r="P133" i="7"/>
  <c r="P134" i="7"/>
  <c r="J2" i="7"/>
  <c r="K2" i="7"/>
  <c r="L2" i="7"/>
  <c r="M2" i="7"/>
  <c r="A25" i="10"/>
  <c r="A24" i="10"/>
  <c r="A23" i="10"/>
  <c r="A22" i="10"/>
  <c r="A21" i="10"/>
  <c r="A20" i="10"/>
  <c r="A19" i="10"/>
  <c r="A18" i="10"/>
  <c r="A17" i="10"/>
  <c r="A16" i="10"/>
  <c r="A15" i="10"/>
  <c r="A14" i="10"/>
  <c r="A13" i="10"/>
  <c r="A12" i="10"/>
  <c r="A11" i="10"/>
  <c r="A10" i="10"/>
  <c r="A9" i="10"/>
  <c r="A8" i="10"/>
  <c r="A7" i="10"/>
  <c r="A6" i="10"/>
  <c r="A5" i="10"/>
  <c r="A4" i="10"/>
  <c r="A3" i="10"/>
  <c r="A2" i="10"/>
  <c r="A25" i="9"/>
  <c r="A24" i="9"/>
  <c r="A23" i="9"/>
  <c r="A22" i="9"/>
  <c r="A21" i="9"/>
  <c r="A20" i="9"/>
  <c r="A19" i="9"/>
  <c r="A18" i="9"/>
  <c r="A17" i="9"/>
  <c r="A16" i="9"/>
  <c r="A15" i="9"/>
  <c r="A14" i="9"/>
  <c r="A13" i="9"/>
  <c r="A12" i="9"/>
  <c r="A11" i="9"/>
  <c r="A10" i="9"/>
  <c r="A9" i="9"/>
  <c r="A8" i="9"/>
  <c r="A7" i="9"/>
  <c r="A6" i="9"/>
  <c r="A5" i="9"/>
  <c r="A4" i="9"/>
  <c r="A3" i="9"/>
  <c r="A2" i="9"/>
  <c r="A289" i="8"/>
  <c r="A288" i="8"/>
  <c r="A287" i="8"/>
  <c r="A286" i="8"/>
  <c r="A285" i="8"/>
  <c r="A284" i="8"/>
  <c r="A283" i="8"/>
  <c r="A282" i="8"/>
  <c r="A281" i="8"/>
  <c r="A280" i="8"/>
  <c r="A279" i="8"/>
  <c r="A278" i="8"/>
  <c r="A277" i="8"/>
  <c r="A276" i="8"/>
  <c r="A275" i="8"/>
  <c r="A274" i="8"/>
  <c r="A273" i="8"/>
  <c r="A272" i="8"/>
  <c r="A271" i="8"/>
  <c r="A270" i="8"/>
  <c r="A269" i="8"/>
  <c r="A268" i="8"/>
  <c r="A267" i="8"/>
  <c r="A266" i="8"/>
  <c r="A265" i="8"/>
  <c r="A264" i="8"/>
  <c r="A263" i="8"/>
  <c r="A262" i="8"/>
  <c r="A261" i="8"/>
  <c r="A260" i="8"/>
  <c r="A259" i="8"/>
  <c r="A258" i="8"/>
  <c r="A257" i="8"/>
  <c r="A256" i="8"/>
  <c r="A255" i="8"/>
  <c r="A254" i="8"/>
  <c r="A253" i="8"/>
  <c r="A252" i="8"/>
  <c r="A251" i="8"/>
  <c r="A250" i="8"/>
  <c r="A249" i="8"/>
  <c r="A248" i="8"/>
  <c r="A247" i="8"/>
  <c r="A246" i="8"/>
  <c r="A245" i="8"/>
  <c r="A244" i="8"/>
  <c r="A243" i="8"/>
  <c r="A242" i="8"/>
  <c r="A241" i="8"/>
  <c r="A240" i="8"/>
  <c r="A239" i="8"/>
  <c r="A238" i="8"/>
  <c r="A237" i="8"/>
  <c r="A236" i="8"/>
  <c r="A235" i="8"/>
  <c r="A234" i="8"/>
  <c r="A233" i="8"/>
  <c r="A232" i="8"/>
  <c r="A231" i="8"/>
  <c r="A230" i="8"/>
  <c r="A229" i="8"/>
  <c r="A228" i="8"/>
  <c r="A227" i="8"/>
  <c r="A226" i="8"/>
  <c r="A225" i="8"/>
  <c r="A224" i="8"/>
  <c r="A223" i="8"/>
  <c r="A222" i="8"/>
  <c r="A221" i="8"/>
  <c r="A220" i="8"/>
  <c r="A219" i="8"/>
  <c r="A218" i="8"/>
  <c r="A217" i="8"/>
  <c r="A216" i="8"/>
  <c r="A215" i="8"/>
  <c r="A214" i="8"/>
  <c r="A213" i="8"/>
  <c r="A212" i="8"/>
  <c r="A211" i="8"/>
  <c r="A210" i="8"/>
  <c r="A209" i="8"/>
  <c r="A208" i="8"/>
  <c r="A207" i="8"/>
  <c r="A206" i="8"/>
  <c r="A205" i="8"/>
  <c r="A204" i="8"/>
  <c r="A203" i="8"/>
  <c r="A202" i="8"/>
  <c r="A201" i="8"/>
  <c r="A200" i="8"/>
  <c r="A199" i="8"/>
  <c r="A198" i="8"/>
  <c r="A197" i="8"/>
  <c r="A196" i="8"/>
  <c r="A195" i="8"/>
  <c r="A194" i="8"/>
  <c r="A193" i="8"/>
  <c r="A192" i="8"/>
  <c r="A191" i="8"/>
  <c r="A190" i="8"/>
  <c r="A189" i="8"/>
  <c r="A188" i="8"/>
  <c r="A187" i="8"/>
  <c r="A186" i="8"/>
  <c r="A185" i="8"/>
  <c r="A184" i="8"/>
  <c r="A183" i="8"/>
  <c r="A182" i="8"/>
  <c r="A181" i="8"/>
  <c r="A180" i="8"/>
  <c r="A179" i="8"/>
  <c r="A178" i="8"/>
  <c r="A177" i="8"/>
  <c r="A176" i="8"/>
  <c r="A175" i="8"/>
  <c r="A174" i="8"/>
  <c r="A173" i="8"/>
  <c r="A172" i="8"/>
  <c r="A171" i="8"/>
  <c r="A170" i="8"/>
  <c r="A169" i="8"/>
  <c r="A168" i="8"/>
  <c r="A167" i="8"/>
  <c r="A166" i="8"/>
  <c r="A165" i="8"/>
  <c r="A164" i="8"/>
  <c r="A163" i="8"/>
  <c r="A162" i="8"/>
  <c r="A161" i="8"/>
  <c r="A160" i="8"/>
  <c r="A159" i="8"/>
  <c r="A158" i="8"/>
  <c r="A157" i="8"/>
  <c r="A156" i="8"/>
  <c r="A155" i="8"/>
  <c r="A154" i="8"/>
  <c r="A153" i="8"/>
  <c r="A152" i="8"/>
  <c r="A151" i="8"/>
  <c r="A150" i="8"/>
  <c r="A149" i="8"/>
  <c r="A148" i="8"/>
  <c r="A147" i="8"/>
  <c r="A146" i="8"/>
  <c r="A145" i="8"/>
  <c r="A144" i="8"/>
  <c r="A143" i="8"/>
  <c r="A142" i="8"/>
  <c r="A141" i="8"/>
  <c r="A140" i="8"/>
  <c r="A139" i="8"/>
  <c r="A138" i="8"/>
  <c r="A137" i="8"/>
  <c r="A136" i="8"/>
  <c r="A135" i="8"/>
  <c r="A134" i="8"/>
  <c r="A133" i="8"/>
  <c r="A132" i="8"/>
  <c r="A131" i="8"/>
  <c r="A130" i="8"/>
  <c r="A129" i="8"/>
  <c r="A128" i="8"/>
  <c r="A127" i="8"/>
  <c r="A126" i="8"/>
  <c r="A125" i="8"/>
  <c r="A124" i="8"/>
  <c r="A123" i="8"/>
  <c r="A122" i="8"/>
  <c r="A121" i="8"/>
  <c r="A120" i="8"/>
  <c r="A119" i="8"/>
  <c r="A118" i="8"/>
  <c r="A117" i="8"/>
  <c r="A116" i="8"/>
  <c r="A115" i="8"/>
  <c r="A114" i="8"/>
  <c r="A113" i="8"/>
  <c r="A112" i="8"/>
  <c r="A111" i="8"/>
  <c r="A110" i="8"/>
  <c r="A109" i="8"/>
  <c r="A108" i="8"/>
  <c r="A107" i="8"/>
  <c r="A106" i="8"/>
  <c r="A105" i="8"/>
  <c r="A104" i="8"/>
  <c r="A103" i="8"/>
  <c r="A102" i="8"/>
  <c r="A101" i="8"/>
  <c r="A100" i="8"/>
  <c r="A99" i="8"/>
  <c r="A98" i="8"/>
  <c r="A97" i="8"/>
  <c r="A96" i="8"/>
  <c r="A95" i="8"/>
  <c r="A94" i="8"/>
  <c r="A93" i="8"/>
  <c r="A92" i="8"/>
  <c r="A91" i="8"/>
  <c r="A90" i="8"/>
  <c r="A89" i="8"/>
  <c r="A88" i="8"/>
  <c r="A87" i="8"/>
  <c r="A86" i="8"/>
  <c r="A85" i="8"/>
  <c r="A84" i="8"/>
  <c r="A83" i="8"/>
  <c r="A82" i="8"/>
  <c r="A81" i="8"/>
  <c r="A80" i="8"/>
  <c r="A79" i="8"/>
  <c r="A78" i="8"/>
  <c r="A77" i="8"/>
  <c r="A76" i="8"/>
  <c r="A75" i="8"/>
  <c r="A74" i="8"/>
  <c r="A73" i="8"/>
  <c r="A72" i="8"/>
  <c r="A71" i="8"/>
  <c r="A70" i="8"/>
  <c r="A69" i="8"/>
  <c r="A68" i="8"/>
  <c r="A67" i="8"/>
  <c r="A66" i="8"/>
  <c r="A65" i="8"/>
  <c r="A64" i="8"/>
  <c r="A63" i="8"/>
  <c r="A62" i="8"/>
  <c r="A61" i="8"/>
  <c r="A60" i="8"/>
  <c r="A59" i="8"/>
  <c r="A58" i="8"/>
  <c r="A57" i="8"/>
  <c r="A56" i="8"/>
  <c r="A55" i="8"/>
  <c r="A54" i="8"/>
  <c r="A53" i="8"/>
  <c r="A52" i="8"/>
  <c r="A51" i="8"/>
  <c r="A50" i="8"/>
  <c r="A49" i="8"/>
  <c r="A48" i="8"/>
  <c r="A47" i="8"/>
  <c r="A46" i="8"/>
  <c r="A45" i="8"/>
  <c r="A44" i="8"/>
  <c r="A43" i="8"/>
  <c r="A42" i="8"/>
  <c r="A41" i="8"/>
  <c r="A40" i="8"/>
  <c r="A39" i="8"/>
  <c r="A38" i="8"/>
  <c r="A37" i="8"/>
  <c r="A36" i="8"/>
  <c r="A35" i="8"/>
  <c r="A34" i="8"/>
  <c r="A33" i="8"/>
  <c r="A32" i="8"/>
  <c r="A31" i="8"/>
  <c r="A30" i="8"/>
  <c r="A29" i="8"/>
  <c r="A28" i="8"/>
  <c r="A27" i="8"/>
  <c r="A26" i="8"/>
  <c r="A25" i="8"/>
  <c r="A24" i="8"/>
  <c r="A23" i="8"/>
  <c r="A22" i="8"/>
  <c r="A21" i="8"/>
  <c r="A20" i="8"/>
  <c r="A19" i="8"/>
  <c r="A18" i="8"/>
  <c r="A17" i="8"/>
  <c r="A16" i="8"/>
  <c r="A15" i="8"/>
  <c r="A14" i="8"/>
  <c r="A13" i="8"/>
  <c r="A12" i="8"/>
  <c r="A11" i="8"/>
  <c r="A10" i="8"/>
  <c r="A9" i="8"/>
  <c r="A8" i="8"/>
  <c r="A7" i="8"/>
  <c r="A6" i="8"/>
  <c r="A5" i="8"/>
  <c r="A4" i="8"/>
  <c r="A3" i="8"/>
  <c r="A2" i="8"/>
  <c r="B289" i="7"/>
  <c r="B288" i="7"/>
  <c r="B287" i="7"/>
  <c r="B286" i="7"/>
  <c r="B285" i="7"/>
  <c r="B284" i="7"/>
  <c r="B283" i="7"/>
  <c r="B282" i="7"/>
  <c r="B281" i="7"/>
  <c r="B280" i="7"/>
  <c r="B279" i="7"/>
  <c r="B278" i="7"/>
  <c r="B277" i="7"/>
  <c r="B276" i="7"/>
  <c r="B275" i="7"/>
  <c r="B274" i="7"/>
  <c r="B273" i="7"/>
  <c r="B272" i="7"/>
  <c r="B271" i="7"/>
  <c r="B270" i="7"/>
  <c r="B269" i="7"/>
  <c r="B268" i="7"/>
  <c r="B267" i="7"/>
  <c r="B266" i="7"/>
  <c r="B265" i="7"/>
  <c r="B264" i="7"/>
  <c r="B263" i="7"/>
  <c r="B262" i="7"/>
  <c r="B261" i="7"/>
  <c r="B260" i="7"/>
  <c r="B259" i="7"/>
  <c r="B258" i="7"/>
  <c r="B257" i="7"/>
  <c r="B256" i="7"/>
  <c r="B255" i="7"/>
  <c r="B254" i="7"/>
  <c r="B253" i="7"/>
  <c r="B252" i="7"/>
  <c r="B251" i="7"/>
  <c r="B250" i="7"/>
  <c r="B249" i="7"/>
  <c r="B248" i="7"/>
  <c r="B247" i="7"/>
  <c r="B246" i="7"/>
  <c r="B245" i="7"/>
  <c r="B244" i="7"/>
  <c r="B243" i="7"/>
  <c r="B242" i="7"/>
  <c r="B241" i="7"/>
  <c r="B240" i="7"/>
  <c r="B239" i="7"/>
  <c r="B238" i="7"/>
  <c r="B237" i="7"/>
  <c r="B236" i="7"/>
  <c r="B235" i="7"/>
  <c r="B234" i="7"/>
  <c r="B233" i="7"/>
  <c r="B232" i="7"/>
  <c r="B231" i="7"/>
  <c r="B230" i="7"/>
  <c r="B229" i="7"/>
  <c r="B228" i="7"/>
  <c r="B227" i="7"/>
  <c r="B226" i="7"/>
  <c r="B225" i="7"/>
  <c r="B224" i="7"/>
  <c r="B223" i="7"/>
  <c r="B222" i="7"/>
  <c r="B221" i="7"/>
  <c r="B220" i="7"/>
  <c r="B219" i="7"/>
  <c r="B218" i="7"/>
  <c r="B217" i="7"/>
  <c r="B216" i="7"/>
  <c r="B215" i="7"/>
  <c r="B214" i="7"/>
  <c r="B213" i="7"/>
  <c r="B212" i="7"/>
  <c r="B211" i="7"/>
  <c r="B210" i="7"/>
  <c r="B209" i="7"/>
  <c r="B208" i="7"/>
  <c r="B207" i="7"/>
  <c r="B206" i="7"/>
  <c r="B205" i="7"/>
  <c r="B204" i="7"/>
  <c r="B203" i="7"/>
  <c r="B202" i="7"/>
  <c r="B201" i="7"/>
  <c r="B200" i="7"/>
  <c r="B199" i="7"/>
  <c r="B198" i="7"/>
  <c r="B197" i="7"/>
  <c r="B196" i="7"/>
  <c r="B195" i="7"/>
  <c r="B194" i="7"/>
  <c r="B193" i="7"/>
  <c r="B192" i="7"/>
  <c r="B191" i="7"/>
  <c r="B190" i="7"/>
  <c r="B189" i="7"/>
  <c r="B188" i="7"/>
  <c r="B187" i="7"/>
  <c r="B186" i="7"/>
  <c r="B185" i="7"/>
  <c r="B184" i="7"/>
  <c r="B183" i="7"/>
  <c r="B182" i="7"/>
  <c r="B181" i="7"/>
  <c r="B180" i="7"/>
  <c r="B179" i="7"/>
  <c r="B178" i="7"/>
  <c r="B177" i="7"/>
  <c r="B176" i="7"/>
  <c r="B175" i="7"/>
  <c r="B174" i="7"/>
  <c r="B173" i="7"/>
  <c r="B172" i="7"/>
  <c r="B171" i="7"/>
  <c r="B170" i="7"/>
  <c r="B169" i="7"/>
  <c r="B168" i="7"/>
  <c r="B167" i="7"/>
  <c r="B166" i="7"/>
  <c r="B165" i="7"/>
  <c r="B164" i="7"/>
  <c r="B163" i="7"/>
  <c r="B162" i="7"/>
  <c r="B161" i="7"/>
  <c r="B160" i="7"/>
  <c r="B159" i="7"/>
  <c r="B158" i="7"/>
  <c r="B157" i="7"/>
  <c r="B156" i="7"/>
  <c r="B155" i="7"/>
  <c r="B154" i="7"/>
  <c r="B153" i="7"/>
  <c r="B152" i="7"/>
  <c r="B151" i="7"/>
  <c r="B150" i="7"/>
  <c r="B149" i="7"/>
  <c r="B148" i="7"/>
  <c r="B147" i="7"/>
  <c r="B146" i="7"/>
  <c r="B145" i="7"/>
  <c r="B144" i="7"/>
  <c r="B143" i="7"/>
  <c r="B142" i="7"/>
  <c r="B141" i="7"/>
  <c r="B140" i="7"/>
  <c r="B139" i="7"/>
  <c r="B138" i="7"/>
  <c r="B137" i="7"/>
  <c r="B136" i="7"/>
  <c r="B135" i="7"/>
  <c r="B134" i="7"/>
  <c r="B133" i="7"/>
  <c r="B132" i="7"/>
  <c r="B131" i="7"/>
  <c r="B130" i="7"/>
  <c r="B129" i="7"/>
  <c r="B128" i="7"/>
  <c r="B127" i="7"/>
  <c r="B126" i="7"/>
  <c r="B125" i="7"/>
  <c r="B124" i="7"/>
  <c r="B123" i="7"/>
  <c r="B122" i="7"/>
  <c r="B121" i="7"/>
  <c r="B120" i="7"/>
  <c r="B119" i="7"/>
  <c r="B118" i="7"/>
  <c r="B117" i="7"/>
  <c r="B116" i="7"/>
  <c r="B115" i="7"/>
  <c r="B114" i="7"/>
  <c r="B113" i="7"/>
  <c r="B112" i="7"/>
  <c r="B111" i="7"/>
  <c r="B110" i="7"/>
  <c r="B109" i="7"/>
  <c r="B108" i="7"/>
  <c r="B107" i="7"/>
  <c r="B106" i="7"/>
  <c r="B105" i="7"/>
  <c r="B104" i="7"/>
  <c r="B103" i="7"/>
  <c r="B102" i="7"/>
  <c r="B101" i="7"/>
  <c r="B100" i="7"/>
  <c r="B99" i="7"/>
  <c r="B98" i="7"/>
  <c r="B97" i="7"/>
  <c r="B96" i="7"/>
  <c r="B95" i="7"/>
  <c r="B94" i="7"/>
  <c r="B93" i="7"/>
  <c r="B92" i="7"/>
  <c r="B91" i="7"/>
  <c r="B90" i="7"/>
  <c r="B89" i="7"/>
  <c r="B88" i="7"/>
  <c r="B87" i="7"/>
  <c r="B86" i="7"/>
  <c r="B85" i="7"/>
  <c r="B84" i="7"/>
  <c r="B83" i="7"/>
  <c r="B82" i="7"/>
  <c r="B81" i="7"/>
  <c r="B80" i="7"/>
  <c r="B79" i="7"/>
  <c r="B78" i="7"/>
  <c r="B77" i="7"/>
  <c r="B76" i="7"/>
  <c r="B75" i="7"/>
  <c r="B74" i="7"/>
  <c r="B73" i="7"/>
  <c r="B72" i="7"/>
  <c r="B71" i="7"/>
  <c r="B70" i="7"/>
  <c r="B69" i="7"/>
  <c r="B68" i="7"/>
  <c r="B67" i="7"/>
  <c r="B66" i="7"/>
  <c r="B65" i="7"/>
  <c r="B64" i="7"/>
  <c r="B63" i="7"/>
  <c r="B62" i="7"/>
  <c r="B61" i="7"/>
  <c r="B60" i="7"/>
  <c r="B59" i="7"/>
  <c r="B58" i="7"/>
  <c r="B57" i="7"/>
  <c r="B56" i="7"/>
  <c r="B55" i="7"/>
  <c r="B54" i="7"/>
  <c r="B53" i="7"/>
  <c r="B52" i="7"/>
  <c r="B51" i="7"/>
  <c r="B50" i="7"/>
  <c r="B49" i="7"/>
  <c r="B48" i="7"/>
  <c r="B47" i="7"/>
  <c r="B46" i="7"/>
  <c r="B45" i="7"/>
  <c r="B44" i="7"/>
  <c r="B43" i="7"/>
  <c r="B42" i="7"/>
  <c r="B41" i="7"/>
  <c r="B40" i="7"/>
  <c r="B39" i="7"/>
  <c r="B38" i="7"/>
  <c r="B37" i="7"/>
  <c r="B36" i="7"/>
  <c r="B35" i="7"/>
  <c r="B34" i="7"/>
  <c r="B33" i="7"/>
  <c r="B32" i="7"/>
  <c r="B31" i="7"/>
  <c r="B30" i="7"/>
  <c r="B29" i="7"/>
  <c r="B28" i="7"/>
  <c r="B27" i="7"/>
  <c r="B26" i="7"/>
  <c r="B25" i="7"/>
  <c r="B24" i="7"/>
  <c r="B23" i="7"/>
  <c r="B22" i="7"/>
  <c r="B21" i="7"/>
  <c r="B20" i="7"/>
  <c r="B19" i="7"/>
  <c r="B18" i="7"/>
  <c r="B17" i="7"/>
  <c r="B16" i="7"/>
  <c r="B15" i="7"/>
  <c r="B14" i="7"/>
  <c r="B13" i="7"/>
  <c r="B12" i="7"/>
  <c r="B11" i="7"/>
  <c r="B10" i="7"/>
  <c r="B9" i="7"/>
  <c r="B8" i="7"/>
  <c r="B7" i="7"/>
  <c r="B6" i="7"/>
  <c r="B5" i="7"/>
  <c r="B4" i="7"/>
  <c r="B3" i="7"/>
  <c r="B2" i="7"/>
  <c r="C2" i="7" s="1"/>
  <c r="A25" i="6"/>
  <c r="A24" i="6"/>
  <c r="A23" i="6"/>
  <c r="A22" i="6"/>
  <c r="A21" i="6"/>
  <c r="A20" i="6"/>
  <c r="A19" i="6"/>
  <c r="A18" i="6"/>
  <c r="A17" i="6"/>
  <c r="M16" i="6"/>
  <c r="A16" i="6"/>
  <c r="A15" i="6"/>
  <c r="A14" i="6"/>
  <c r="A13" i="6"/>
  <c r="A12" i="6"/>
  <c r="A11" i="6"/>
  <c r="A10" i="6"/>
  <c r="A9" i="6"/>
  <c r="A8" i="6"/>
  <c r="A7" i="6"/>
  <c r="A6" i="6"/>
  <c r="A5" i="6"/>
  <c r="A4" i="6"/>
  <c r="A3" i="6"/>
  <c r="A2" i="6"/>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E11" i="5"/>
  <c r="E10" i="5"/>
  <c r="E9" i="5"/>
  <c r="E8" i="5"/>
  <c r="E7" i="5"/>
  <c r="E6" i="5"/>
  <c r="E5" i="5"/>
  <c r="E4" i="5"/>
  <c r="E3" i="5"/>
  <c r="E2" i="5"/>
  <c r="B5" i="4"/>
  <c r="B24" i="10" l="1"/>
  <c r="C24" i="10" s="1"/>
  <c r="B17" i="10"/>
  <c r="C17" i="10" s="1"/>
  <c r="B13" i="10"/>
  <c r="C13" i="10" s="1"/>
  <c r="B9" i="10"/>
  <c r="C9" i="10" s="1"/>
  <c r="B6" i="10"/>
  <c r="C6" i="10" s="1"/>
  <c r="B5" i="10"/>
  <c r="C5" i="10" s="1"/>
  <c r="B4" i="10"/>
  <c r="C4" i="10" s="1"/>
  <c r="B3" i="10"/>
  <c r="C3" i="10" s="1"/>
  <c r="B2" i="10"/>
  <c r="C2" i="10" s="1"/>
  <c r="B25" i="10"/>
  <c r="C25" i="10" s="1"/>
  <c r="B22" i="10"/>
  <c r="C22" i="10" s="1"/>
  <c r="B21" i="10"/>
  <c r="C21" i="10" s="1"/>
  <c r="B20" i="10"/>
  <c r="C20" i="10" s="1"/>
  <c r="B16" i="10"/>
  <c r="C16" i="10" s="1"/>
  <c r="B12" i="10"/>
  <c r="C12" i="10" s="1"/>
  <c r="B10" i="10"/>
  <c r="C10" i="10" s="1"/>
  <c r="B23" i="10"/>
  <c r="C23" i="10" s="1"/>
  <c r="B18" i="10"/>
  <c r="C18" i="10" s="1"/>
  <c r="B14" i="10"/>
  <c r="C14" i="10" s="1"/>
  <c r="B8" i="10"/>
  <c r="C8" i="10" s="1"/>
  <c r="B19" i="10"/>
  <c r="C19" i="10" s="1"/>
  <c r="B15" i="10"/>
  <c r="C15" i="10" s="1"/>
  <c r="B11" i="10"/>
  <c r="C11" i="10" s="1"/>
  <c r="B7" i="10"/>
  <c r="C7" i="10" s="1"/>
  <c r="C87" i="8"/>
  <c r="P2" i="7"/>
  <c r="I2" i="7"/>
  <c r="N2" i="7" s="1"/>
  <c r="O199" i="7"/>
  <c r="B199" i="8"/>
  <c r="H289" i="8"/>
  <c r="G289" i="8"/>
  <c r="F289" i="8"/>
  <c r="E289" i="8"/>
  <c r="D289" i="8"/>
  <c r="C289" i="8"/>
  <c r="D288" i="8"/>
  <c r="H288" i="8"/>
  <c r="G288" i="8"/>
  <c r="F288" i="8"/>
  <c r="E288" i="8"/>
  <c r="C288" i="8"/>
  <c r="F287" i="8"/>
  <c r="H287" i="8"/>
  <c r="G287" i="8"/>
  <c r="E287" i="8"/>
  <c r="D287" i="8"/>
  <c r="C287" i="8"/>
  <c r="E286" i="8"/>
  <c r="D286" i="8"/>
  <c r="C286" i="8"/>
  <c r="H286" i="8"/>
  <c r="G286" i="8"/>
  <c r="F286" i="8"/>
  <c r="F285" i="8"/>
  <c r="E285" i="8"/>
  <c r="C285" i="8"/>
  <c r="D285" i="8"/>
  <c r="H285" i="8"/>
  <c r="G285" i="8"/>
  <c r="H284" i="8"/>
  <c r="G284" i="8"/>
  <c r="F284" i="8"/>
  <c r="E284" i="8"/>
  <c r="D284" i="8"/>
  <c r="C284" i="8"/>
  <c r="H283" i="8"/>
  <c r="G283" i="8"/>
  <c r="F283" i="8"/>
  <c r="E283" i="8"/>
  <c r="D283" i="8"/>
  <c r="C283" i="8"/>
  <c r="H282" i="8"/>
  <c r="C282" i="8"/>
  <c r="G282" i="8"/>
  <c r="F282" i="8"/>
  <c r="E282" i="8"/>
  <c r="D282" i="8"/>
  <c r="D281" i="8"/>
  <c r="C281" i="8"/>
  <c r="H281" i="8"/>
  <c r="G281" i="8"/>
  <c r="F281" i="8"/>
  <c r="E281" i="8"/>
  <c r="D280" i="8"/>
  <c r="F280" i="8"/>
  <c r="E280" i="8"/>
  <c r="C280" i="8"/>
  <c r="H280" i="8"/>
  <c r="G280" i="8"/>
  <c r="F279" i="8"/>
  <c r="E279" i="8"/>
  <c r="D279" i="8"/>
  <c r="C279" i="8"/>
  <c r="H279" i="8"/>
  <c r="G279" i="8"/>
  <c r="E278" i="8"/>
  <c r="H278" i="8"/>
  <c r="G278" i="8"/>
  <c r="F278" i="8"/>
  <c r="D278" i="8"/>
  <c r="C278" i="8"/>
  <c r="H277" i="8"/>
  <c r="G277" i="8"/>
  <c r="F277" i="8"/>
  <c r="E277" i="8"/>
  <c r="D277" i="8"/>
  <c r="C277" i="8"/>
  <c r="H276" i="8"/>
  <c r="G276" i="8"/>
  <c r="F276" i="8"/>
  <c r="E276" i="8"/>
  <c r="D276" i="8"/>
  <c r="C276" i="8"/>
  <c r="D275" i="8"/>
  <c r="C275" i="8"/>
  <c r="H275" i="8"/>
  <c r="G275" i="8"/>
  <c r="F275" i="8"/>
  <c r="E275" i="8"/>
  <c r="E274" i="8"/>
  <c r="D274" i="8"/>
  <c r="C274" i="8"/>
  <c r="H274" i="8"/>
  <c r="G274" i="8"/>
  <c r="F274" i="8"/>
  <c r="H273" i="8"/>
  <c r="C273" i="8"/>
  <c r="G273" i="8"/>
  <c r="F273" i="8"/>
  <c r="E273" i="8"/>
  <c r="D273" i="8"/>
  <c r="D272" i="8"/>
  <c r="F272" i="8"/>
  <c r="G272" i="8"/>
  <c r="H272" i="8"/>
  <c r="E272" i="8"/>
  <c r="C272" i="8"/>
  <c r="D271" i="8"/>
  <c r="H271" i="8"/>
  <c r="G271" i="8"/>
  <c r="E271" i="8"/>
  <c r="F271" i="8"/>
  <c r="C271" i="8"/>
  <c r="G270" i="8"/>
  <c r="F270" i="8"/>
  <c r="E270" i="8"/>
  <c r="H270" i="8"/>
  <c r="D270" i="8"/>
  <c r="C270" i="8"/>
  <c r="D269" i="8"/>
  <c r="F269" i="8"/>
  <c r="G269" i="8"/>
  <c r="H269" i="8"/>
  <c r="E269" i="8"/>
  <c r="C269" i="8"/>
  <c r="H268" i="8"/>
  <c r="G268" i="8"/>
  <c r="F268" i="8"/>
  <c r="E268" i="8"/>
  <c r="D268" i="8"/>
  <c r="C268" i="8"/>
  <c r="H267" i="8"/>
  <c r="G267" i="8"/>
  <c r="F267" i="8"/>
  <c r="E267" i="8"/>
  <c r="D267" i="8"/>
  <c r="C267" i="8"/>
  <c r="C266" i="8"/>
  <c r="G266" i="8"/>
  <c r="F266" i="8"/>
  <c r="E266" i="8"/>
  <c r="D266" i="8"/>
  <c r="H266" i="8"/>
  <c r="E265" i="8"/>
  <c r="C265" i="8"/>
  <c r="D265" i="8"/>
  <c r="F265" i="8"/>
  <c r="G265" i="8"/>
  <c r="H265" i="8"/>
  <c r="D264" i="8"/>
  <c r="E264" i="8"/>
  <c r="C264" i="8"/>
  <c r="F264" i="8"/>
  <c r="G264" i="8"/>
  <c r="H264" i="8"/>
  <c r="E263" i="8"/>
  <c r="H263" i="8"/>
  <c r="D263" i="8"/>
  <c r="C263" i="8"/>
  <c r="F263" i="8"/>
  <c r="G263" i="8"/>
  <c r="E262" i="8"/>
  <c r="D262" i="8"/>
  <c r="C262" i="8"/>
  <c r="H262" i="8"/>
  <c r="G262" i="8"/>
  <c r="F262" i="8"/>
  <c r="D261" i="8"/>
  <c r="G261" i="8"/>
  <c r="F261" i="8"/>
  <c r="E261" i="8"/>
  <c r="C261" i="8"/>
  <c r="H261" i="8"/>
  <c r="H260" i="8"/>
  <c r="G260" i="8"/>
  <c r="F260" i="8"/>
  <c r="E260" i="8"/>
  <c r="D260" i="8"/>
  <c r="C260" i="8"/>
  <c r="D259" i="8"/>
  <c r="C259" i="8"/>
  <c r="H259" i="8"/>
  <c r="G259" i="8"/>
  <c r="F259" i="8"/>
  <c r="E259" i="8"/>
  <c r="C258" i="8"/>
  <c r="H258" i="8"/>
  <c r="G258" i="8"/>
  <c r="F258" i="8"/>
  <c r="E258" i="8"/>
  <c r="D258" i="8"/>
  <c r="D257" i="8"/>
  <c r="C257" i="8"/>
  <c r="H257" i="8"/>
  <c r="G257" i="8"/>
  <c r="F257" i="8"/>
  <c r="E257" i="8"/>
  <c r="H256" i="8"/>
  <c r="F256" i="8"/>
  <c r="E256" i="8"/>
  <c r="D256" i="8"/>
  <c r="C256" i="8"/>
  <c r="G256" i="8"/>
  <c r="C255" i="8"/>
  <c r="F255" i="8"/>
  <c r="D255" i="8"/>
  <c r="E255" i="8"/>
  <c r="H255" i="8"/>
  <c r="G255" i="8"/>
  <c r="H254" i="8"/>
  <c r="C254" i="8"/>
  <c r="D254" i="8"/>
  <c r="E254" i="8"/>
  <c r="F254" i="8"/>
  <c r="G254" i="8"/>
  <c r="C253" i="8"/>
  <c r="D253" i="8"/>
  <c r="E253" i="8"/>
  <c r="F253" i="8"/>
  <c r="G253" i="8"/>
  <c r="H253" i="8"/>
  <c r="C252" i="8"/>
  <c r="D252" i="8"/>
  <c r="E252" i="8"/>
  <c r="F252" i="8"/>
  <c r="G252" i="8"/>
  <c r="H252" i="8"/>
  <c r="C251" i="8"/>
  <c r="H251" i="8"/>
  <c r="G251" i="8"/>
  <c r="F251" i="8"/>
  <c r="E251" i="8"/>
  <c r="D251" i="8"/>
  <c r="D250" i="8"/>
  <c r="E250" i="8"/>
  <c r="G250" i="8"/>
  <c r="H250" i="8"/>
  <c r="F250" i="8"/>
  <c r="C250" i="8"/>
  <c r="F249" i="8"/>
  <c r="E249" i="8"/>
  <c r="D249" i="8"/>
  <c r="C249" i="8"/>
  <c r="G249" i="8"/>
  <c r="H249" i="8"/>
  <c r="G248" i="8"/>
  <c r="H248" i="8"/>
  <c r="F248" i="8"/>
  <c r="E248" i="8"/>
  <c r="D248" i="8"/>
  <c r="C248" i="8"/>
  <c r="C247" i="8"/>
  <c r="D247" i="8"/>
  <c r="H247" i="8"/>
  <c r="G247" i="8"/>
  <c r="E247" i="8"/>
  <c r="F247" i="8"/>
  <c r="C246" i="8"/>
  <c r="G246" i="8"/>
  <c r="F246" i="8"/>
  <c r="H246" i="8"/>
  <c r="E246" i="8"/>
  <c r="D246" i="8"/>
  <c r="D245" i="8"/>
  <c r="C245" i="8"/>
  <c r="G245" i="8"/>
  <c r="H245" i="8"/>
  <c r="F245" i="8"/>
  <c r="E245" i="8"/>
  <c r="H244" i="8"/>
  <c r="G244" i="8"/>
  <c r="C244" i="8"/>
  <c r="D244" i="8"/>
  <c r="E244" i="8"/>
  <c r="F244" i="8"/>
  <c r="F243" i="8"/>
  <c r="E243" i="8"/>
  <c r="D243" i="8"/>
  <c r="C243" i="8"/>
  <c r="H243" i="8"/>
  <c r="G243" i="8"/>
  <c r="E242" i="8"/>
  <c r="D242" i="8"/>
  <c r="C242" i="8"/>
  <c r="H242" i="8"/>
  <c r="G242" i="8"/>
  <c r="F242" i="8"/>
  <c r="C241" i="8"/>
  <c r="H241" i="8"/>
  <c r="D241" i="8"/>
  <c r="E241" i="8"/>
  <c r="F241" i="8"/>
  <c r="G241" i="8"/>
  <c r="E240" i="8"/>
  <c r="F240" i="8"/>
  <c r="G240" i="8"/>
  <c r="H240" i="8"/>
  <c r="C240" i="8"/>
  <c r="D240" i="8"/>
  <c r="C239" i="8"/>
  <c r="D239" i="8"/>
  <c r="H239" i="8"/>
  <c r="G239" i="8"/>
  <c r="F239" i="8"/>
  <c r="E239" i="8"/>
  <c r="E238" i="8"/>
  <c r="D238" i="8"/>
  <c r="C238" i="8"/>
  <c r="H238" i="8"/>
  <c r="F238" i="8"/>
  <c r="G238" i="8"/>
  <c r="E237" i="8"/>
  <c r="D237" i="8"/>
  <c r="H237" i="8"/>
  <c r="F237" i="8"/>
  <c r="C237" i="8"/>
  <c r="G237" i="8"/>
  <c r="D236" i="8"/>
  <c r="H236" i="8"/>
  <c r="G236" i="8"/>
  <c r="C236" i="8"/>
  <c r="E236" i="8"/>
  <c r="F236" i="8"/>
  <c r="C235" i="8"/>
  <c r="F235" i="8"/>
  <c r="H235" i="8"/>
  <c r="G235" i="8"/>
  <c r="E235" i="8"/>
  <c r="D235" i="8"/>
  <c r="H234" i="8"/>
  <c r="G234" i="8"/>
  <c r="F234" i="8"/>
  <c r="E234" i="8"/>
  <c r="D234" i="8"/>
  <c r="C234" i="8"/>
  <c r="D232" i="8"/>
  <c r="C232" i="8"/>
  <c r="E232" i="8"/>
  <c r="F232" i="8"/>
  <c r="G232" i="8"/>
  <c r="H232" i="8"/>
  <c r="D231" i="8"/>
  <c r="C231" i="8"/>
  <c r="F231" i="8"/>
  <c r="H231" i="8"/>
  <c r="G231" i="8"/>
  <c r="E231" i="8"/>
  <c r="G230" i="8"/>
  <c r="H230" i="8"/>
  <c r="C230" i="8"/>
  <c r="D230" i="8"/>
  <c r="E230" i="8"/>
  <c r="F230" i="8"/>
  <c r="D229" i="8"/>
  <c r="H229" i="8"/>
  <c r="G229" i="8"/>
  <c r="F229" i="8"/>
  <c r="E229" i="8"/>
  <c r="C229" i="8"/>
  <c r="H228" i="8"/>
  <c r="G228" i="8"/>
  <c r="F228" i="8"/>
  <c r="E228" i="8"/>
  <c r="D228" i="8"/>
  <c r="C228" i="8"/>
  <c r="E227" i="8"/>
  <c r="H227" i="8"/>
  <c r="F227" i="8"/>
  <c r="G227" i="8"/>
  <c r="C227" i="8"/>
  <c r="D227" i="8"/>
  <c r="E226" i="8"/>
  <c r="H226" i="8"/>
  <c r="G226" i="8"/>
  <c r="F226" i="8"/>
  <c r="D226" i="8"/>
  <c r="C226" i="8"/>
  <c r="D225" i="8"/>
  <c r="C225" i="8"/>
  <c r="E225" i="8"/>
  <c r="H225" i="8"/>
  <c r="G225" i="8"/>
  <c r="F225" i="8"/>
  <c r="F224" i="8"/>
  <c r="C224" i="8"/>
  <c r="H224" i="8"/>
  <c r="G224" i="8"/>
  <c r="E224" i="8"/>
  <c r="D224" i="8"/>
  <c r="F223" i="8"/>
  <c r="G223" i="8"/>
  <c r="H223" i="8"/>
  <c r="C223" i="8"/>
  <c r="D223" i="8"/>
  <c r="E223" i="8"/>
  <c r="C222" i="8"/>
  <c r="H222" i="8"/>
  <c r="G222" i="8"/>
  <c r="F222" i="8"/>
  <c r="E222" i="8"/>
  <c r="D222" i="8"/>
  <c r="F221" i="8"/>
  <c r="E221" i="8"/>
  <c r="G221" i="8"/>
  <c r="H221" i="8"/>
  <c r="C221" i="8"/>
  <c r="D221" i="8"/>
  <c r="C220" i="8"/>
  <c r="G220" i="8"/>
  <c r="F220" i="8"/>
  <c r="E220" i="8"/>
  <c r="H220" i="8"/>
  <c r="D220" i="8"/>
  <c r="H219" i="8"/>
  <c r="E219" i="8"/>
  <c r="D219" i="8"/>
  <c r="F219" i="8"/>
  <c r="C219" i="8"/>
  <c r="G219" i="8"/>
  <c r="C218" i="8"/>
  <c r="E218" i="8"/>
  <c r="G218" i="8"/>
  <c r="D218" i="8"/>
  <c r="F218" i="8"/>
  <c r="H218" i="8"/>
  <c r="F217" i="8"/>
  <c r="E217" i="8"/>
  <c r="C217" i="8"/>
  <c r="D217" i="8"/>
  <c r="H217" i="8"/>
  <c r="G217" i="8"/>
  <c r="F216" i="8"/>
  <c r="E216" i="8"/>
  <c r="D216" i="8"/>
  <c r="C216" i="8"/>
  <c r="H216" i="8"/>
  <c r="G216" i="8"/>
  <c r="E215" i="8"/>
  <c r="F215" i="8"/>
  <c r="G215" i="8"/>
  <c r="D215" i="8"/>
  <c r="C215" i="8"/>
  <c r="H215" i="8"/>
  <c r="D214" i="8"/>
  <c r="C214" i="8"/>
  <c r="G214" i="8"/>
  <c r="F214" i="8"/>
  <c r="E214" i="8"/>
  <c r="H214" i="8"/>
  <c r="H213" i="8"/>
  <c r="G213" i="8"/>
  <c r="F213" i="8"/>
  <c r="E213" i="8"/>
  <c r="C213" i="8"/>
  <c r="D213" i="8"/>
  <c r="F212" i="8"/>
  <c r="E212" i="8"/>
  <c r="D212" i="8"/>
  <c r="G212" i="8"/>
  <c r="C212" i="8"/>
  <c r="H212" i="8"/>
  <c r="H211" i="8"/>
  <c r="E211" i="8"/>
  <c r="F211" i="8"/>
  <c r="D211" i="8"/>
  <c r="G211" i="8"/>
  <c r="C211" i="8"/>
  <c r="C210" i="8"/>
  <c r="H210" i="8"/>
  <c r="G210" i="8"/>
  <c r="F210" i="8"/>
  <c r="E210" i="8"/>
  <c r="D210" i="8"/>
  <c r="G209" i="8"/>
  <c r="D209" i="8"/>
  <c r="E209" i="8"/>
  <c r="F209" i="8"/>
  <c r="H209" i="8"/>
  <c r="C209" i="8"/>
  <c r="E208" i="8"/>
  <c r="H208" i="8"/>
  <c r="F208" i="8"/>
  <c r="D208" i="8"/>
  <c r="C208" i="8"/>
  <c r="G208" i="8"/>
  <c r="F207" i="8"/>
  <c r="G207" i="8"/>
  <c r="H207" i="8"/>
  <c r="C207" i="8"/>
  <c r="D207" i="8"/>
  <c r="E207" i="8"/>
  <c r="D206" i="8"/>
  <c r="H206" i="8"/>
  <c r="G206" i="8"/>
  <c r="F206" i="8"/>
  <c r="E206" i="8"/>
  <c r="C206" i="8"/>
  <c r="H205" i="8"/>
  <c r="G205" i="8"/>
  <c r="F205" i="8"/>
  <c r="E205" i="8"/>
  <c r="D205" i="8"/>
  <c r="C205" i="8"/>
  <c r="C204" i="8"/>
  <c r="H204" i="8"/>
  <c r="G204" i="8"/>
  <c r="F204" i="8"/>
  <c r="E204" i="8"/>
  <c r="D204" i="8"/>
  <c r="H203" i="8"/>
  <c r="C203" i="8"/>
  <c r="D203" i="8"/>
  <c r="E203" i="8"/>
  <c r="F203" i="8"/>
  <c r="G203" i="8"/>
  <c r="C202" i="8"/>
  <c r="F202" i="8"/>
  <c r="E202" i="8"/>
  <c r="D202" i="8"/>
  <c r="H202" i="8"/>
  <c r="G202" i="8"/>
  <c r="C201" i="8"/>
  <c r="D201" i="8"/>
  <c r="F201" i="8"/>
  <c r="E201" i="8"/>
  <c r="H201" i="8"/>
  <c r="G201" i="8"/>
  <c r="H200" i="8"/>
  <c r="C200" i="8"/>
  <c r="D200" i="8"/>
  <c r="E200" i="8"/>
  <c r="F200" i="8"/>
  <c r="G200" i="8"/>
  <c r="F199" i="8"/>
  <c r="G199" i="8"/>
  <c r="H199" i="8"/>
  <c r="D199" i="8"/>
  <c r="C199" i="8"/>
  <c r="E199" i="8"/>
  <c r="E198" i="8"/>
  <c r="D198" i="8"/>
  <c r="C198" i="8"/>
  <c r="H198" i="8"/>
  <c r="G198" i="8"/>
  <c r="F198" i="8"/>
  <c r="E197" i="8"/>
  <c r="H197" i="8"/>
  <c r="C197" i="8"/>
  <c r="D197" i="8"/>
  <c r="G197" i="8"/>
  <c r="F197" i="8"/>
  <c r="H196" i="8"/>
  <c r="G196" i="8"/>
  <c r="E196" i="8"/>
  <c r="D196" i="8"/>
  <c r="C196" i="8"/>
  <c r="F196" i="8"/>
  <c r="H195" i="8"/>
  <c r="G195" i="8"/>
  <c r="E195" i="8"/>
  <c r="D195" i="8"/>
  <c r="C195" i="8"/>
  <c r="F195" i="8"/>
  <c r="F194" i="8"/>
  <c r="G194" i="8"/>
  <c r="H194" i="8"/>
  <c r="C194" i="8"/>
  <c r="D194" i="8"/>
  <c r="E194" i="8"/>
  <c r="E193" i="8"/>
  <c r="D193" i="8"/>
  <c r="C193" i="8"/>
  <c r="H193" i="8"/>
  <c r="G193" i="8"/>
  <c r="F193" i="8"/>
  <c r="H192" i="8"/>
  <c r="G192" i="8"/>
  <c r="F192" i="8"/>
  <c r="E192" i="8"/>
  <c r="D192" i="8"/>
  <c r="C192" i="8"/>
  <c r="H191" i="8"/>
  <c r="G191" i="8"/>
  <c r="F191" i="8"/>
  <c r="D191" i="8"/>
  <c r="C191" i="8"/>
  <c r="E191" i="8"/>
  <c r="H190" i="8"/>
  <c r="G190" i="8"/>
  <c r="F190" i="8"/>
  <c r="E190" i="8"/>
  <c r="C190" i="8"/>
  <c r="D190" i="8"/>
  <c r="G189" i="8"/>
  <c r="F189" i="8"/>
  <c r="E189" i="8"/>
  <c r="D189" i="8"/>
  <c r="C189" i="8"/>
  <c r="H189" i="8"/>
  <c r="G188" i="8"/>
  <c r="H188" i="8"/>
  <c r="F188" i="8"/>
  <c r="E188" i="8"/>
  <c r="D188" i="8"/>
  <c r="C188" i="8"/>
  <c r="D187" i="8"/>
  <c r="C187" i="8"/>
  <c r="H187" i="8"/>
  <c r="G187" i="8"/>
  <c r="F187" i="8"/>
  <c r="E187" i="8"/>
  <c r="D186" i="8"/>
  <c r="C186" i="8"/>
  <c r="H186" i="8"/>
  <c r="G186" i="8"/>
  <c r="F186" i="8"/>
  <c r="E186" i="8"/>
  <c r="H185" i="8"/>
  <c r="G185" i="8"/>
  <c r="F185" i="8"/>
  <c r="E185" i="8"/>
  <c r="D185" i="8"/>
  <c r="C185" i="8"/>
  <c r="H184" i="8"/>
  <c r="G184" i="8"/>
  <c r="F184" i="8"/>
  <c r="E184" i="8"/>
  <c r="D184" i="8"/>
  <c r="C184" i="8"/>
  <c r="H183" i="8"/>
  <c r="F183" i="8"/>
  <c r="E183" i="8"/>
  <c r="D183" i="8"/>
  <c r="C183" i="8"/>
  <c r="G183" i="8"/>
  <c r="E182" i="8"/>
  <c r="D182" i="8"/>
  <c r="C182" i="8"/>
  <c r="H182" i="8"/>
  <c r="G182" i="8"/>
  <c r="F182" i="8"/>
  <c r="E181" i="8"/>
  <c r="D181" i="8"/>
  <c r="C181" i="8"/>
  <c r="H181" i="8"/>
  <c r="G181" i="8"/>
  <c r="F181" i="8"/>
  <c r="H180" i="8"/>
  <c r="G180" i="8"/>
  <c r="F180" i="8"/>
  <c r="E180" i="8"/>
  <c r="D180" i="8"/>
  <c r="C180" i="8"/>
  <c r="H179" i="8"/>
  <c r="G179" i="8"/>
  <c r="F179" i="8"/>
  <c r="E179" i="8"/>
  <c r="D179" i="8"/>
  <c r="C179" i="8"/>
  <c r="H178" i="8"/>
  <c r="G178" i="8"/>
  <c r="F178" i="8"/>
  <c r="E178" i="8"/>
  <c r="D178" i="8"/>
  <c r="C178" i="8"/>
  <c r="H177" i="8"/>
  <c r="G177" i="8"/>
  <c r="E177" i="8"/>
  <c r="D177" i="8"/>
  <c r="C177" i="8"/>
  <c r="F177" i="8"/>
  <c r="E176" i="8"/>
  <c r="D176" i="8"/>
  <c r="C176" i="8"/>
  <c r="H176" i="8"/>
  <c r="G176" i="8"/>
  <c r="F176" i="8"/>
  <c r="E175" i="8"/>
  <c r="D175" i="8"/>
  <c r="H175" i="8"/>
  <c r="C175" i="8"/>
  <c r="G175" i="8"/>
  <c r="F175" i="8"/>
  <c r="H174" i="8"/>
  <c r="G174" i="8"/>
  <c r="E174" i="8"/>
  <c r="D174" i="8"/>
  <c r="C174" i="8"/>
  <c r="F174" i="8"/>
  <c r="H173" i="8"/>
  <c r="G173" i="8"/>
  <c r="E173" i="8"/>
  <c r="D173" i="8"/>
  <c r="C173" i="8"/>
  <c r="F173" i="8"/>
  <c r="F172" i="8"/>
  <c r="E172" i="8"/>
  <c r="C172" i="8"/>
  <c r="D172" i="8"/>
  <c r="H172" i="8"/>
  <c r="G172" i="8"/>
  <c r="F171" i="8"/>
  <c r="G171" i="8"/>
  <c r="H171" i="8"/>
  <c r="C171" i="8"/>
  <c r="D171" i="8"/>
  <c r="E171" i="8"/>
  <c r="C170" i="8"/>
  <c r="D170" i="8"/>
  <c r="E170" i="8"/>
  <c r="F170" i="8"/>
  <c r="G170" i="8"/>
  <c r="H170" i="8"/>
  <c r="D169" i="8"/>
  <c r="E169" i="8"/>
  <c r="F169" i="8"/>
  <c r="G169" i="8"/>
  <c r="H169" i="8"/>
  <c r="C169" i="8"/>
  <c r="C168" i="8"/>
  <c r="H168" i="8"/>
  <c r="G168" i="8"/>
  <c r="F168" i="8"/>
  <c r="E168" i="8"/>
  <c r="D168" i="8"/>
  <c r="H167" i="8"/>
  <c r="D167" i="8"/>
  <c r="C167" i="8"/>
  <c r="E167" i="8"/>
  <c r="F167" i="8"/>
  <c r="G167" i="8"/>
  <c r="H166" i="8"/>
  <c r="G166" i="8"/>
  <c r="F166" i="8"/>
  <c r="E166" i="8"/>
  <c r="D166" i="8"/>
  <c r="C166" i="8"/>
  <c r="F165" i="8"/>
  <c r="H165" i="8"/>
  <c r="G165" i="8"/>
  <c r="E165" i="8"/>
  <c r="D165" i="8"/>
  <c r="C165" i="8"/>
  <c r="E164" i="8"/>
  <c r="C164" i="8"/>
  <c r="D164" i="8"/>
  <c r="F164" i="8"/>
  <c r="G164" i="8"/>
  <c r="H164" i="8"/>
  <c r="D163" i="8"/>
  <c r="E163" i="8"/>
  <c r="H163" i="8"/>
  <c r="F163" i="8"/>
  <c r="G163" i="8"/>
  <c r="C163" i="8"/>
  <c r="F162" i="8"/>
  <c r="E162" i="8"/>
  <c r="H162" i="8"/>
  <c r="G162" i="8"/>
  <c r="D162" i="8"/>
  <c r="C162" i="8"/>
  <c r="F161" i="8"/>
  <c r="E161" i="8"/>
  <c r="C161" i="8"/>
  <c r="D161" i="8"/>
  <c r="H161" i="8"/>
  <c r="G161" i="8"/>
  <c r="H159" i="8"/>
  <c r="G159" i="8"/>
  <c r="C159" i="8"/>
  <c r="D159" i="8"/>
  <c r="F159" i="8"/>
  <c r="E159" i="8"/>
  <c r="C158" i="8"/>
  <c r="D158" i="8"/>
  <c r="E158" i="8"/>
  <c r="F158" i="8"/>
  <c r="G158" i="8"/>
  <c r="H158" i="8"/>
  <c r="F157" i="8"/>
  <c r="D157" i="8"/>
  <c r="C157" i="8"/>
  <c r="E157" i="8"/>
  <c r="G157" i="8"/>
  <c r="H157" i="8"/>
  <c r="C156" i="8"/>
  <c r="H156" i="8"/>
  <c r="G156" i="8"/>
  <c r="F156" i="8"/>
  <c r="E156" i="8"/>
  <c r="D156" i="8"/>
  <c r="C155" i="8"/>
  <c r="F155" i="8"/>
  <c r="E155" i="8"/>
  <c r="D155" i="8"/>
  <c r="H155" i="8"/>
  <c r="G155" i="8"/>
  <c r="G154" i="8"/>
  <c r="H154" i="8"/>
  <c r="C154" i="8"/>
  <c r="D154" i="8"/>
  <c r="E154" i="8"/>
  <c r="F154" i="8"/>
  <c r="G153" i="8"/>
  <c r="F153" i="8"/>
  <c r="E153" i="8"/>
  <c r="C153" i="8"/>
  <c r="D153" i="8"/>
  <c r="H153" i="8"/>
  <c r="F152" i="8"/>
  <c r="G152" i="8"/>
  <c r="H152" i="8"/>
  <c r="E152" i="8"/>
  <c r="D152" i="8"/>
  <c r="C152" i="8"/>
  <c r="D151" i="8"/>
  <c r="C151" i="8"/>
  <c r="E151" i="8"/>
  <c r="F151" i="8"/>
  <c r="G151" i="8"/>
  <c r="H151" i="8"/>
  <c r="F150" i="8"/>
  <c r="E150" i="8"/>
  <c r="G150" i="8"/>
  <c r="C150" i="8"/>
  <c r="H150" i="8"/>
  <c r="D150" i="8"/>
  <c r="H149" i="8"/>
  <c r="G149" i="8"/>
  <c r="F149" i="8"/>
  <c r="E149" i="8"/>
  <c r="D149" i="8"/>
  <c r="C149" i="8"/>
  <c r="G148" i="8"/>
  <c r="E148" i="8"/>
  <c r="C148" i="8"/>
  <c r="H148" i="8"/>
  <c r="F148" i="8"/>
  <c r="D148" i="8"/>
  <c r="G147" i="8"/>
  <c r="C147" i="8"/>
  <c r="D147" i="8"/>
  <c r="H147" i="8"/>
  <c r="F147" i="8"/>
  <c r="E147" i="8"/>
  <c r="H146" i="8"/>
  <c r="D146" i="8"/>
  <c r="F146" i="8"/>
  <c r="G146" i="8"/>
  <c r="E146" i="8"/>
  <c r="C146" i="8"/>
  <c r="E145" i="8"/>
  <c r="G145" i="8"/>
  <c r="D145" i="8"/>
  <c r="C145" i="8"/>
  <c r="H145" i="8"/>
  <c r="F145" i="8"/>
  <c r="H144" i="8"/>
  <c r="C144" i="8"/>
  <c r="G144" i="8"/>
  <c r="F144" i="8"/>
  <c r="D144" i="8"/>
  <c r="E144" i="8"/>
  <c r="H143" i="8"/>
  <c r="C143" i="8"/>
  <c r="E143" i="8"/>
  <c r="D143" i="8"/>
  <c r="G143" i="8"/>
  <c r="F143" i="8"/>
  <c r="F142" i="8"/>
  <c r="G142" i="8"/>
  <c r="E142" i="8"/>
  <c r="C142" i="8"/>
  <c r="D142" i="8"/>
  <c r="H142" i="8"/>
  <c r="G141" i="8"/>
  <c r="H141" i="8"/>
  <c r="E141" i="8"/>
  <c r="D141" i="8"/>
  <c r="C141" i="8"/>
  <c r="F141" i="8"/>
  <c r="E140" i="8"/>
  <c r="D140" i="8"/>
  <c r="G140" i="8"/>
  <c r="C140" i="8"/>
  <c r="H140" i="8"/>
  <c r="F140" i="8"/>
  <c r="H139" i="8"/>
  <c r="G139" i="8"/>
  <c r="C139" i="8"/>
  <c r="D139" i="8"/>
  <c r="E139" i="8"/>
  <c r="F139" i="8"/>
  <c r="C138" i="8"/>
  <c r="D138" i="8"/>
  <c r="E138" i="8"/>
  <c r="F138" i="8"/>
  <c r="G138" i="8"/>
  <c r="H138" i="8"/>
  <c r="E137" i="8"/>
  <c r="H137" i="8"/>
  <c r="G137" i="8"/>
  <c r="F137" i="8"/>
  <c r="D137" i="8"/>
  <c r="C137" i="8"/>
  <c r="H136" i="8"/>
  <c r="G136" i="8"/>
  <c r="F136" i="8"/>
  <c r="E136" i="8"/>
  <c r="D136" i="8"/>
  <c r="C136" i="8"/>
  <c r="H135" i="8"/>
  <c r="G135" i="8"/>
  <c r="F135" i="8"/>
  <c r="E135" i="8"/>
  <c r="D135" i="8"/>
  <c r="C135" i="8"/>
  <c r="H134" i="8"/>
  <c r="D134" i="8"/>
  <c r="G134" i="8"/>
  <c r="F134" i="8"/>
  <c r="E134" i="8"/>
  <c r="C134" i="8"/>
  <c r="C133" i="8"/>
  <c r="F133" i="8"/>
  <c r="E133" i="8"/>
  <c r="D133" i="8"/>
  <c r="G133" i="8"/>
  <c r="H133" i="8"/>
  <c r="E132" i="8"/>
  <c r="H132" i="8"/>
  <c r="G132" i="8"/>
  <c r="F132" i="8"/>
  <c r="C132" i="8"/>
  <c r="D132" i="8"/>
  <c r="C131" i="8"/>
  <c r="E131" i="8"/>
  <c r="D131" i="8"/>
  <c r="G131" i="8"/>
  <c r="F131" i="8"/>
  <c r="H131" i="8"/>
  <c r="E130" i="8"/>
  <c r="F130" i="8"/>
  <c r="G130" i="8"/>
  <c r="C130" i="8"/>
  <c r="D130" i="8"/>
  <c r="H130" i="8"/>
  <c r="H129" i="8"/>
  <c r="G129" i="8"/>
  <c r="E129" i="8"/>
  <c r="C129" i="8"/>
  <c r="D129" i="8"/>
  <c r="F129" i="8"/>
  <c r="E128" i="8"/>
  <c r="D128" i="8"/>
  <c r="F128" i="8"/>
  <c r="H128" i="8"/>
  <c r="G128" i="8"/>
  <c r="C128" i="8"/>
  <c r="C127" i="8"/>
  <c r="F127" i="8"/>
  <c r="H127" i="8"/>
  <c r="E127" i="8"/>
  <c r="G127" i="8"/>
  <c r="D127" i="8"/>
  <c r="H126" i="8"/>
  <c r="G126" i="8"/>
  <c r="F126" i="8"/>
  <c r="E126" i="8"/>
  <c r="D126" i="8"/>
  <c r="C126" i="8"/>
  <c r="D125" i="8"/>
  <c r="C125" i="8"/>
  <c r="H125" i="8"/>
  <c r="E125" i="8"/>
  <c r="F125" i="8"/>
  <c r="G125" i="8"/>
  <c r="E124" i="8"/>
  <c r="H124" i="8"/>
  <c r="G124" i="8"/>
  <c r="F124" i="8"/>
  <c r="D124" i="8"/>
  <c r="C124" i="8"/>
  <c r="D123" i="8"/>
  <c r="H123" i="8"/>
  <c r="G123" i="8"/>
  <c r="F123" i="8"/>
  <c r="E123" i="8"/>
  <c r="C123" i="8"/>
  <c r="C122" i="8"/>
  <c r="H122" i="8"/>
  <c r="G122" i="8"/>
  <c r="F122" i="8"/>
  <c r="E122" i="8"/>
  <c r="D122" i="8"/>
  <c r="E121" i="8"/>
  <c r="D121" i="8"/>
  <c r="C121" i="8"/>
  <c r="H121" i="8"/>
  <c r="G121" i="8"/>
  <c r="F121" i="8"/>
  <c r="C120" i="8"/>
  <c r="D120" i="8"/>
  <c r="E120" i="8"/>
  <c r="F120" i="8"/>
  <c r="G120" i="8"/>
  <c r="H120" i="8"/>
  <c r="H119" i="8"/>
  <c r="D119" i="8"/>
  <c r="E119" i="8"/>
  <c r="F119" i="8"/>
  <c r="G119" i="8"/>
  <c r="C119" i="8"/>
  <c r="D118" i="8"/>
  <c r="H118" i="8"/>
  <c r="E118" i="8"/>
  <c r="G118" i="8"/>
  <c r="F118" i="8"/>
  <c r="C118" i="8"/>
  <c r="C117" i="8"/>
  <c r="D117" i="8"/>
  <c r="E117" i="8"/>
  <c r="H117" i="8"/>
  <c r="G117" i="8"/>
  <c r="F117" i="8"/>
  <c r="D116" i="8"/>
  <c r="E116" i="8"/>
  <c r="F116" i="8"/>
  <c r="G116" i="8"/>
  <c r="H116" i="8"/>
  <c r="C116" i="8"/>
  <c r="C115" i="8"/>
  <c r="D115" i="8"/>
  <c r="E115" i="8"/>
  <c r="F115" i="8"/>
  <c r="G115" i="8"/>
  <c r="H115" i="8"/>
  <c r="I115" i="8" s="1"/>
  <c r="F114" i="8"/>
  <c r="G114" i="8"/>
  <c r="H114" i="8"/>
  <c r="C114" i="8"/>
  <c r="D114" i="8"/>
  <c r="E114" i="8"/>
  <c r="F113" i="8"/>
  <c r="D113" i="8"/>
  <c r="C113" i="8"/>
  <c r="G113" i="8"/>
  <c r="H113" i="8"/>
  <c r="E113" i="8"/>
  <c r="D112" i="8"/>
  <c r="H112" i="8"/>
  <c r="C112" i="8"/>
  <c r="G112" i="8"/>
  <c r="F112" i="8"/>
  <c r="E112" i="8"/>
  <c r="G111" i="8"/>
  <c r="E111" i="8"/>
  <c r="F111" i="8"/>
  <c r="H111" i="8"/>
  <c r="D111" i="8"/>
  <c r="C111" i="8"/>
  <c r="H110" i="8"/>
  <c r="D110" i="8"/>
  <c r="C110" i="8"/>
  <c r="F110" i="8"/>
  <c r="E110" i="8"/>
  <c r="G110" i="8"/>
  <c r="E109" i="8"/>
  <c r="G109" i="8"/>
  <c r="D109" i="8"/>
  <c r="C109" i="8"/>
  <c r="H109" i="8"/>
  <c r="F109" i="8"/>
  <c r="D108" i="8"/>
  <c r="G108" i="8"/>
  <c r="H108" i="8"/>
  <c r="F108" i="8"/>
  <c r="E108" i="8"/>
  <c r="C108" i="8"/>
  <c r="E107" i="8"/>
  <c r="G107" i="8"/>
  <c r="C107" i="8"/>
  <c r="H107" i="8"/>
  <c r="F107" i="8"/>
  <c r="D107" i="8"/>
  <c r="F106" i="8"/>
  <c r="G106" i="8"/>
  <c r="H106" i="8"/>
  <c r="C106" i="8"/>
  <c r="D106" i="8"/>
  <c r="E106" i="8"/>
  <c r="G105" i="8"/>
  <c r="H105" i="8"/>
  <c r="D105" i="8"/>
  <c r="F105" i="8"/>
  <c r="C105" i="8"/>
  <c r="E105" i="8"/>
  <c r="G104" i="8"/>
  <c r="F104" i="8"/>
  <c r="E104" i="8"/>
  <c r="D104" i="8"/>
  <c r="H104" i="8"/>
  <c r="C104" i="8"/>
  <c r="G103" i="8"/>
  <c r="F103" i="8"/>
  <c r="E103" i="8"/>
  <c r="D103" i="8"/>
  <c r="C103" i="8"/>
  <c r="H103" i="8"/>
  <c r="I103" i="8" s="1"/>
  <c r="G102" i="8"/>
  <c r="H102" i="8"/>
  <c r="C102" i="8"/>
  <c r="D102" i="8"/>
  <c r="E102" i="8"/>
  <c r="F102" i="8"/>
  <c r="C101" i="8"/>
  <c r="D101" i="8"/>
  <c r="F101" i="8"/>
  <c r="G101" i="8"/>
  <c r="H101" i="8"/>
  <c r="E101" i="8"/>
  <c r="H100" i="8"/>
  <c r="G100" i="8"/>
  <c r="E100" i="8"/>
  <c r="D100" i="8"/>
  <c r="C100" i="8"/>
  <c r="F100" i="8"/>
  <c r="H99" i="8"/>
  <c r="G99" i="8"/>
  <c r="F99" i="8"/>
  <c r="E99" i="8"/>
  <c r="D99" i="8"/>
  <c r="C99" i="8"/>
  <c r="D98" i="8"/>
  <c r="C98" i="8"/>
  <c r="E98" i="8"/>
  <c r="F98" i="8"/>
  <c r="G98" i="8"/>
  <c r="H98" i="8"/>
  <c r="I98" i="8" s="1"/>
  <c r="H97" i="8"/>
  <c r="C97" i="8"/>
  <c r="D97" i="8"/>
  <c r="E97" i="8"/>
  <c r="F97" i="8"/>
  <c r="G97" i="8"/>
  <c r="D96" i="8"/>
  <c r="E96" i="8"/>
  <c r="F96" i="8"/>
  <c r="G96" i="8"/>
  <c r="H96" i="8"/>
  <c r="C96" i="8"/>
  <c r="C95" i="8"/>
  <c r="H95" i="8"/>
  <c r="D95" i="8"/>
  <c r="E95" i="8"/>
  <c r="F95" i="8"/>
  <c r="G95" i="8"/>
  <c r="C94" i="8"/>
  <c r="D94" i="8"/>
  <c r="F94" i="8"/>
  <c r="G94" i="8"/>
  <c r="H94" i="8"/>
  <c r="E94" i="8"/>
  <c r="G93" i="8"/>
  <c r="H93" i="8"/>
  <c r="E93" i="8"/>
  <c r="F93" i="8"/>
  <c r="D93" i="8"/>
  <c r="C93" i="8"/>
  <c r="G92" i="8"/>
  <c r="F92" i="8"/>
  <c r="E92" i="8"/>
  <c r="D92" i="8"/>
  <c r="C92" i="8"/>
  <c r="H92" i="8"/>
  <c r="I92" i="8" s="1"/>
  <c r="H91" i="8"/>
  <c r="G91" i="8"/>
  <c r="E91" i="8"/>
  <c r="F91" i="8"/>
  <c r="C91" i="8"/>
  <c r="D91" i="8"/>
  <c r="F90" i="8"/>
  <c r="E90" i="8"/>
  <c r="D90" i="8"/>
  <c r="C90" i="8"/>
  <c r="H90" i="8"/>
  <c r="G90" i="8"/>
  <c r="F89" i="8"/>
  <c r="C89" i="8"/>
  <c r="D89" i="8"/>
  <c r="E89" i="8"/>
  <c r="G89" i="8"/>
  <c r="H89" i="8"/>
  <c r="I89" i="8" s="1"/>
  <c r="D88" i="8"/>
  <c r="E88" i="8"/>
  <c r="F88" i="8"/>
  <c r="G88" i="8"/>
  <c r="H88" i="8"/>
  <c r="C88" i="8"/>
  <c r="D86" i="8"/>
  <c r="C86" i="8"/>
  <c r="E86" i="8"/>
  <c r="F86" i="8"/>
  <c r="G86" i="8"/>
  <c r="H86" i="8"/>
  <c r="D85" i="8"/>
  <c r="E85" i="8"/>
  <c r="F85" i="8"/>
  <c r="G85" i="8"/>
  <c r="H85" i="8"/>
  <c r="C85" i="8"/>
  <c r="G84" i="8"/>
  <c r="F84" i="8"/>
  <c r="E84" i="8"/>
  <c r="D84" i="8"/>
  <c r="C84" i="8"/>
  <c r="H84" i="8"/>
  <c r="H83" i="8"/>
  <c r="C83" i="8"/>
  <c r="F83" i="8"/>
  <c r="E83" i="8"/>
  <c r="D83" i="8"/>
  <c r="G83" i="8"/>
  <c r="C82" i="8"/>
  <c r="D82" i="8"/>
  <c r="G82" i="8"/>
  <c r="H82" i="8"/>
  <c r="E82" i="8"/>
  <c r="F82" i="8"/>
  <c r="H81" i="8"/>
  <c r="D81" i="8"/>
  <c r="C81" i="8"/>
  <c r="E81" i="8"/>
  <c r="F81" i="8"/>
  <c r="G81" i="8"/>
  <c r="H80" i="8"/>
  <c r="G80" i="8"/>
  <c r="F80" i="8"/>
  <c r="C80" i="8"/>
  <c r="E80" i="8"/>
  <c r="D80" i="8"/>
  <c r="E79" i="8"/>
  <c r="D79" i="8"/>
  <c r="F79" i="8"/>
  <c r="C79" i="8"/>
  <c r="H79" i="8"/>
  <c r="G79" i="8"/>
  <c r="H78" i="8"/>
  <c r="G78" i="8"/>
  <c r="F78" i="8"/>
  <c r="E78" i="8"/>
  <c r="D78" i="8"/>
  <c r="C78" i="8"/>
  <c r="D77" i="8"/>
  <c r="H77" i="8"/>
  <c r="G77" i="8"/>
  <c r="F77" i="8"/>
  <c r="C77" i="8"/>
  <c r="E77" i="8"/>
  <c r="H76" i="8"/>
  <c r="G76" i="8"/>
  <c r="F76" i="8"/>
  <c r="E76" i="8"/>
  <c r="D76" i="8"/>
  <c r="C76" i="8"/>
  <c r="E75" i="8"/>
  <c r="H75" i="8"/>
  <c r="G75" i="8"/>
  <c r="F75" i="8"/>
  <c r="D75" i="8"/>
  <c r="C75" i="8"/>
  <c r="F74" i="8"/>
  <c r="D74" i="8"/>
  <c r="C74" i="8"/>
  <c r="H74" i="8"/>
  <c r="E74" i="8"/>
  <c r="G74" i="8"/>
  <c r="H73" i="8"/>
  <c r="F73" i="8"/>
  <c r="E73" i="8"/>
  <c r="D73" i="8"/>
  <c r="G73" i="8"/>
  <c r="C73" i="8"/>
  <c r="H72" i="8"/>
  <c r="G72" i="8"/>
  <c r="F72" i="8"/>
  <c r="D72" i="8"/>
  <c r="E72" i="8"/>
  <c r="C72" i="8"/>
  <c r="C71" i="8"/>
  <c r="D71" i="8"/>
  <c r="E71" i="8"/>
  <c r="F71" i="8"/>
  <c r="G71" i="8"/>
  <c r="H71" i="8"/>
  <c r="F70" i="8"/>
  <c r="G70" i="8"/>
  <c r="E70" i="8"/>
  <c r="D70" i="8"/>
  <c r="C70" i="8"/>
  <c r="H70" i="8"/>
  <c r="C69" i="8"/>
  <c r="F69" i="8"/>
  <c r="G69" i="8"/>
  <c r="H69" i="8"/>
  <c r="D69" i="8"/>
  <c r="E69" i="8"/>
  <c r="D68" i="8"/>
  <c r="E68" i="8"/>
  <c r="G68" i="8"/>
  <c r="H68" i="8"/>
  <c r="C68" i="8"/>
  <c r="F68" i="8"/>
  <c r="E67" i="8"/>
  <c r="F67" i="8"/>
  <c r="D67" i="8"/>
  <c r="C67" i="8"/>
  <c r="G67" i="8"/>
  <c r="H67" i="8"/>
  <c r="C66" i="8"/>
  <c r="H66" i="8"/>
  <c r="G66" i="8"/>
  <c r="F66" i="8"/>
  <c r="E66" i="8"/>
  <c r="D66" i="8"/>
  <c r="E65" i="8"/>
  <c r="F65" i="8"/>
  <c r="H65" i="8"/>
  <c r="G65" i="8"/>
  <c r="C65" i="8"/>
  <c r="D65" i="8"/>
  <c r="D64" i="8"/>
  <c r="G64" i="8"/>
  <c r="E64" i="8"/>
  <c r="F64" i="8"/>
  <c r="H64" i="8"/>
  <c r="C64" i="8"/>
  <c r="D63" i="8"/>
  <c r="G63" i="8"/>
  <c r="C63" i="8"/>
  <c r="E63" i="8"/>
  <c r="H63" i="8"/>
  <c r="F63" i="8"/>
  <c r="F62" i="8"/>
  <c r="H62" i="8"/>
  <c r="G62" i="8"/>
  <c r="E62" i="8"/>
  <c r="C62" i="8"/>
  <c r="D62" i="8"/>
  <c r="F61" i="8"/>
  <c r="H61" i="8"/>
  <c r="G61" i="8"/>
  <c r="C61" i="8"/>
  <c r="D61" i="8"/>
  <c r="E61" i="8"/>
  <c r="D60" i="8"/>
  <c r="C60" i="8"/>
  <c r="E60" i="8"/>
  <c r="F60" i="8"/>
  <c r="G60" i="8"/>
  <c r="H60" i="8"/>
  <c r="H59" i="8"/>
  <c r="G59" i="8"/>
  <c r="E59" i="8"/>
  <c r="D59" i="8"/>
  <c r="C59" i="8"/>
  <c r="F59" i="8"/>
  <c r="H58" i="8"/>
  <c r="F58" i="8"/>
  <c r="G58" i="8"/>
  <c r="C58" i="8"/>
  <c r="D58" i="8"/>
  <c r="E58" i="8"/>
  <c r="F57" i="8"/>
  <c r="G57" i="8"/>
  <c r="H57" i="8"/>
  <c r="C57" i="8"/>
  <c r="E57" i="8"/>
  <c r="D57" i="8"/>
  <c r="E56" i="8"/>
  <c r="C56" i="8"/>
  <c r="D56" i="8"/>
  <c r="F56" i="8"/>
  <c r="G56" i="8"/>
  <c r="H56" i="8"/>
  <c r="D55" i="8"/>
  <c r="C55" i="8"/>
  <c r="E55" i="8"/>
  <c r="H55" i="8"/>
  <c r="G55" i="8"/>
  <c r="F55" i="8"/>
  <c r="H54" i="8"/>
  <c r="G54" i="8"/>
  <c r="F54" i="8"/>
  <c r="E54" i="8"/>
  <c r="C54" i="8"/>
  <c r="D54" i="8"/>
  <c r="H53" i="8"/>
  <c r="G53" i="8"/>
  <c r="E53" i="8"/>
  <c r="D53" i="8"/>
  <c r="C53" i="8"/>
  <c r="F53" i="8"/>
  <c r="C52" i="8"/>
  <c r="E52" i="8"/>
  <c r="D52" i="8"/>
  <c r="F52" i="8"/>
  <c r="G52" i="8"/>
  <c r="H52" i="8"/>
  <c r="D51" i="8"/>
  <c r="H51" i="8"/>
  <c r="G51" i="8"/>
  <c r="F51" i="8"/>
  <c r="E51" i="8"/>
  <c r="C51" i="8"/>
  <c r="H50" i="8"/>
  <c r="G50" i="8"/>
  <c r="E50" i="8"/>
  <c r="C50" i="8"/>
  <c r="D50" i="8"/>
  <c r="F50" i="8"/>
  <c r="E49" i="8"/>
  <c r="D49" i="8"/>
  <c r="C49" i="8"/>
  <c r="G49" i="8"/>
  <c r="H49" i="8"/>
  <c r="F49" i="8"/>
  <c r="G48" i="8"/>
  <c r="C48" i="8"/>
  <c r="H48" i="8"/>
  <c r="E48" i="8"/>
  <c r="D48" i="8"/>
  <c r="F48" i="8"/>
  <c r="E47" i="8"/>
  <c r="D47" i="8"/>
  <c r="C47" i="8"/>
  <c r="F47" i="8"/>
  <c r="H47" i="8"/>
  <c r="G47" i="8"/>
  <c r="H46" i="8"/>
  <c r="C46" i="8"/>
  <c r="D46" i="8"/>
  <c r="E46" i="8"/>
  <c r="F46" i="8"/>
  <c r="G46" i="8"/>
  <c r="C45" i="8"/>
  <c r="H45" i="8"/>
  <c r="D45" i="8"/>
  <c r="E45" i="8"/>
  <c r="F45" i="8"/>
  <c r="G45" i="8"/>
  <c r="D44" i="8"/>
  <c r="C44" i="8"/>
  <c r="F44" i="8"/>
  <c r="H44" i="8"/>
  <c r="G44" i="8"/>
  <c r="E44" i="8"/>
  <c r="C43" i="8"/>
  <c r="G43" i="8"/>
  <c r="H43" i="8"/>
  <c r="F43" i="8"/>
  <c r="E43" i="8"/>
  <c r="D43" i="8"/>
  <c r="D42" i="8"/>
  <c r="E42" i="8"/>
  <c r="F42" i="8"/>
  <c r="G42" i="8"/>
  <c r="H42" i="8"/>
  <c r="C42" i="8"/>
  <c r="D41" i="8"/>
  <c r="F41" i="8"/>
  <c r="C41" i="8"/>
  <c r="H41" i="8"/>
  <c r="G41" i="8"/>
  <c r="E41" i="8"/>
  <c r="H40" i="8"/>
  <c r="G40" i="8"/>
  <c r="F40" i="8"/>
  <c r="E40" i="8"/>
  <c r="D40" i="8"/>
  <c r="C40" i="8"/>
  <c r="C39" i="8"/>
  <c r="D39" i="8"/>
  <c r="E39" i="8"/>
  <c r="F39" i="8"/>
  <c r="G39" i="8"/>
  <c r="H39" i="8"/>
  <c r="D38" i="8"/>
  <c r="E38" i="8"/>
  <c r="F38" i="8"/>
  <c r="G38" i="8"/>
  <c r="H38" i="8"/>
  <c r="C38" i="8"/>
  <c r="C37" i="8"/>
  <c r="H37" i="8"/>
  <c r="G37" i="8"/>
  <c r="F37" i="8"/>
  <c r="E37" i="8"/>
  <c r="D37" i="8"/>
  <c r="D36" i="8"/>
  <c r="C36" i="8"/>
  <c r="E36" i="8"/>
  <c r="F36" i="8"/>
  <c r="G36" i="8"/>
  <c r="H36" i="8"/>
  <c r="E35" i="8"/>
  <c r="D35" i="8"/>
  <c r="C35" i="8"/>
  <c r="F35" i="8"/>
  <c r="H35" i="8"/>
  <c r="G35" i="8"/>
  <c r="D34" i="8"/>
  <c r="H34" i="8"/>
  <c r="G34" i="8"/>
  <c r="F34" i="8"/>
  <c r="E34" i="8"/>
  <c r="C34" i="8"/>
  <c r="F33" i="8"/>
  <c r="G33" i="8"/>
  <c r="H33" i="8"/>
  <c r="C33" i="8"/>
  <c r="D33" i="8"/>
  <c r="E33" i="8"/>
  <c r="G32" i="8"/>
  <c r="H32" i="8"/>
  <c r="C32" i="8"/>
  <c r="D32" i="8"/>
  <c r="E32" i="8"/>
  <c r="F32" i="8"/>
  <c r="G31" i="8"/>
  <c r="C31" i="8"/>
  <c r="D31" i="8"/>
  <c r="E31" i="8"/>
  <c r="H31" i="8"/>
  <c r="F31" i="8"/>
  <c r="G30" i="8"/>
  <c r="F30" i="8"/>
  <c r="E30" i="8"/>
  <c r="D30" i="8"/>
  <c r="C30" i="8"/>
  <c r="H30" i="8"/>
  <c r="C29" i="8"/>
  <c r="F29" i="8"/>
  <c r="G29" i="8"/>
  <c r="D29" i="8"/>
  <c r="H29" i="8"/>
  <c r="E29" i="8"/>
  <c r="E28" i="8"/>
  <c r="D28" i="8"/>
  <c r="H28" i="8"/>
  <c r="G28" i="8"/>
  <c r="F28" i="8"/>
  <c r="C28" i="8"/>
  <c r="G27" i="8"/>
  <c r="F27" i="8"/>
  <c r="E27" i="8"/>
  <c r="D27" i="8"/>
  <c r="C27" i="8"/>
  <c r="H27" i="8"/>
  <c r="D26" i="8"/>
  <c r="H26" i="8"/>
  <c r="G26" i="8"/>
  <c r="F26" i="8"/>
  <c r="E26" i="8"/>
  <c r="C26" i="8"/>
  <c r="G25" i="8"/>
  <c r="E25" i="8"/>
  <c r="D25" i="8"/>
  <c r="C25" i="8"/>
  <c r="F25" i="8"/>
  <c r="H25" i="8"/>
  <c r="D24" i="8"/>
  <c r="E24" i="8"/>
  <c r="F24" i="8"/>
  <c r="G24" i="8"/>
  <c r="H24" i="8"/>
  <c r="C24" i="8"/>
  <c r="E23" i="8"/>
  <c r="G23" i="8"/>
  <c r="H23" i="8"/>
  <c r="C23" i="8"/>
  <c r="D23" i="8"/>
  <c r="F23" i="8"/>
  <c r="C22" i="8"/>
  <c r="D22" i="8"/>
  <c r="E22" i="8"/>
  <c r="F22" i="8"/>
  <c r="G22" i="8"/>
  <c r="H22" i="8"/>
  <c r="G21" i="8"/>
  <c r="H21" i="8"/>
  <c r="C21" i="8"/>
  <c r="D21" i="8"/>
  <c r="E21" i="8"/>
  <c r="F21" i="8"/>
  <c r="F20" i="8"/>
  <c r="E20" i="8"/>
  <c r="D20" i="8"/>
  <c r="C20" i="8"/>
  <c r="H20" i="8"/>
  <c r="G20" i="8"/>
  <c r="H19" i="8"/>
  <c r="G19" i="8"/>
  <c r="F19" i="8"/>
  <c r="E19" i="8"/>
  <c r="D19" i="8"/>
  <c r="C19" i="8"/>
  <c r="H18" i="8"/>
  <c r="G18" i="8"/>
  <c r="F18" i="8"/>
  <c r="E18" i="8"/>
  <c r="D18" i="8"/>
  <c r="C18" i="8"/>
  <c r="D17" i="8"/>
  <c r="H17" i="8"/>
  <c r="G17" i="8"/>
  <c r="F17" i="8"/>
  <c r="E17" i="8"/>
  <c r="C17" i="8"/>
  <c r="H16" i="8"/>
  <c r="E16" i="8"/>
  <c r="D16" i="8"/>
  <c r="C16" i="8"/>
  <c r="G16" i="8"/>
  <c r="F16" i="8"/>
  <c r="H15" i="8"/>
  <c r="C15" i="8"/>
  <c r="G15" i="8"/>
  <c r="F15" i="8"/>
  <c r="E15" i="8"/>
  <c r="D15" i="8"/>
  <c r="D14" i="8"/>
  <c r="C14" i="8"/>
  <c r="G13" i="8"/>
  <c r="C13" i="8"/>
  <c r="F13" i="8"/>
  <c r="H13" i="8"/>
  <c r="E13" i="8"/>
  <c r="D13" i="8"/>
  <c r="C12" i="8"/>
  <c r="D12" i="8"/>
  <c r="E12" i="8"/>
  <c r="F12" i="8"/>
  <c r="G12" i="8"/>
  <c r="H12" i="8"/>
  <c r="C11" i="8"/>
  <c r="D11" i="8"/>
  <c r="E11" i="8"/>
  <c r="F11" i="8"/>
  <c r="H11" i="8"/>
  <c r="G11" i="8"/>
  <c r="E10" i="8"/>
  <c r="C10" i="8"/>
  <c r="D10" i="8"/>
  <c r="F10" i="8"/>
  <c r="G10" i="8"/>
  <c r="H10" i="8"/>
  <c r="I10" i="8" s="1"/>
  <c r="D9" i="8"/>
  <c r="C9" i="8"/>
  <c r="F9" i="8"/>
  <c r="H9" i="8"/>
  <c r="G9" i="8"/>
  <c r="E9" i="8"/>
  <c r="C8" i="8"/>
  <c r="D8" i="8"/>
  <c r="E8" i="8"/>
  <c r="G8" i="8"/>
  <c r="F8" i="8"/>
  <c r="H8" i="8"/>
  <c r="I8" i="8" s="1"/>
  <c r="H7" i="8"/>
  <c r="G7" i="8"/>
  <c r="D7" i="8"/>
  <c r="E7" i="8"/>
  <c r="F7" i="8"/>
  <c r="C7" i="8"/>
  <c r="F6" i="8"/>
  <c r="E6" i="8"/>
  <c r="D6" i="8"/>
  <c r="C6" i="8"/>
  <c r="H6" i="8"/>
  <c r="G6" i="8"/>
  <c r="H5" i="8"/>
  <c r="G5" i="8"/>
  <c r="F5" i="8"/>
  <c r="E5" i="8"/>
  <c r="C5" i="8"/>
  <c r="D5" i="8"/>
  <c r="H4" i="8"/>
  <c r="G4" i="8"/>
  <c r="C4" i="8"/>
  <c r="D4" i="8"/>
  <c r="E4" i="8"/>
  <c r="F4" i="8"/>
  <c r="C3" i="8"/>
  <c r="F3" i="8"/>
  <c r="H3" i="8"/>
  <c r="D3" i="8"/>
  <c r="G3" i="8"/>
  <c r="E3" i="8"/>
  <c r="O289" i="7"/>
  <c r="B289" i="8"/>
  <c r="B288" i="8"/>
  <c r="O288" i="7"/>
  <c r="B287" i="8"/>
  <c r="O287" i="7"/>
  <c r="B286" i="8"/>
  <c r="O286" i="7"/>
  <c r="B285" i="8"/>
  <c r="O285" i="7"/>
  <c r="B284" i="8"/>
  <c r="O284" i="7"/>
  <c r="B283" i="8"/>
  <c r="O283" i="7"/>
  <c r="B282" i="8"/>
  <c r="O282" i="7"/>
  <c r="B281" i="8"/>
  <c r="O281" i="7"/>
  <c r="B280" i="8"/>
  <c r="O280" i="7"/>
  <c r="B279" i="8"/>
  <c r="O279" i="7"/>
  <c r="B278" i="8"/>
  <c r="O278" i="7"/>
  <c r="B277" i="8"/>
  <c r="O277" i="7"/>
  <c r="B276" i="8"/>
  <c r="O276" i="7"/>
  <c r="B275" i="8"/>
  <c r="O275" i="7"/>
  <c r="B274" i="8"/>
  <c r="O274" i="7"/>
  <c r="B273" i="8"/>
  <c r="O273" i="7"/>
  <c r="B272" i="8"/>
  <c r="O272" i="7"/>
  <c r="B271" i="8"/>
  <c r="O271" i="7"/>
  <c r="B270" i="8"/>
  <c r="O270" i="7"/>
  <c r="B269" i="8"/>
  <c r="O269" i="7"/>
  <c r="B268" i="8"/>
  <c r="O268" i="7"/>
  <c r="B267" i="8"/>
  <c r="O267" i="7"/>
  <c r="B266" i="8"/>
  <c r="O266" i="7"/>
  <c r="B265" i="8"/>
  <c r="O265" i="7"/>
  <c r="B264" i="8"/>
  <c r="O264" i="7"/>
  <c r="B263" i="8"/>
  <c r="O263" i="7"/>
  <c r="O262" i="7"/>
  <c r="B262" i="8"/>
  <c r="B261" i="8"/>
  <c r="O261" i="7"/>
  <c r="O260" i="7"/>
  <c r="B260" i="8"/>
  <c r="O259" i="7"/>
  <c r="B259" i="8"/>
  <c r="B258" i="8"/>
  <c r="O258" i="7"/>
  <c r="O257" i="7"/>
  <c r="B257" i="8"/>
  <c r="O256" i="7"/>
  <c r="B256" i="8"/>
  <c r="B255" i="8"/>
  <c r="O255" i="7"/>
  <c r="O254" i="7"/>
  <c r="B254" i="8"/>
  <c r="B253" i="8"/>
  <c r="O253" i="7"/>
  <c r="B252" i="8"/>
  <c r="O252" i="7"/>
  <c r="B251" i="8"/>
  <c r="O251" i="7"/>
  <c r="O250" i="7"/>
  <c r="B250" i="8"/>
  <c r="B249" i="8"/>
  <c r="O249" i="7"/>
  <c r="O248" i="7"/>
  <c r="B248" i="8"/>
  <c r="O247" i="7"/>
  <c r="B247" i="8"/>
  <c r="B246" i="8"/>
  <c r="O246" i="7"/>
  <c r="O245" i="7"/>
  <c r="B245" i="8"/>
  <c r="B244" i="8"/>
  <c r="O244" i="7"/>
  <c r="O243" i="7"/>
  <c r="B243" i="8"/>
  <c r="B242" i="8"/>
  <c r="O242" i="7"/>
  <c r="O241" i="7"/>
  <c r="B241" i="8"/>
  <c r="O240" i="7"/>
  <c r="B240" i="8"/>
  <c r="O239" i="7"/>
  <c r="B239" i="8"/>
  <c r="O238" i="7"/>
  <c r="B238" i="8"/>
  <c r="O237" i="7"/>
  <c r="B237" i="8"/>
  <c r="O236" i="7"/>
  <c r="B236" i="8"/>
  <c r="B235" i="8"/>
  <c r="O235" i="7"/>
  <c r="B234" i="8"/>
  <c r="O234" i="7"/>
  <c r="B233" i="8"/>
  <c r="O233" i="7"/>
  <c r="B232" i="8"/>
  <c r="O232" i="7"/>
  <c r="O231" i="7"/>
  <c r="B231" i="8"/>
  <c r="B230" i="8"/>
  <c r="O230" i="7"/>
  <c r="O229" i="7"/>
  <c r="B229" i="8"/>
  <c r="B228" i="8"/>
  <c r="O228" i="7"/>
  <c r="O227" i="7"/>
  <c r="B227" i="8"/>
  <c r="O226" i="7"/>
  <c r="B226" i="8"/>
  <c r="O225" i="7"/>
  <c r="B225" i="8"/>
  <c r="O224" i="7"/>
  <c r="B224" i="8"/>
  <c r="B223" i="8"/>
  <c r="O223" i="7"/>
  <c r="O222" i="7"/>
  <c r="B222" i="8"/>
  <c r="B221" i="8"/>
  <c r="O221" i="7"/>
  <c r="B220" i="8"/>
  <c r="O220" i="7"/>
  <c r="O219" i="7"/>
  <c r="B219" i="8"/>
  <c r="O218" i="7"/>
  <c r="B218" i="8"/>
  <c r="B217" i="8"/>
  <c r="O217" i="7"/>
  <c r="B216" i="8"/>
  <c r="O216" i="7"/>
  <c r="B215" i="8"/>
  <c r="O215" i="7"/>
  <c r="B214" i="8"/>
  <c r="O214" i="7"/>
  <c r="B213" i="8"/>
  <c r="O213" i="7"/>
  <c r="B212" i="8"/>
  <c r="O212" i="7"/>
  <c r="B211" i="8"/>
  <c r="O211" i="7"/>
  <c r="B210" i="8"/>
  <c r="O210" i="7"/>
  <c r="B209" i="8"/>
  <c r="O209" i="7"/>
  <c r="B208" i="8"/>
  <c r="O208" i="7"/>
  <c r="O207" i="7"/>
  <c r="B207" i="8"/>
  <c r="O206" i="7"/>
  <c r="B206" i="8"/>
  <c r="O205" i="7"/>
  <c r="B205" i="8"/>
  <c r="B204" i="8"/>
  <c r="O204" i="7"/>
  <c r="O203" i="7"/>
  <c r="B203" i="8"/>
  <c r="O202" i="7"/>
  <c r="B202" i="8"/>
  <c r="O201" i="7"/>
  <c r="B201" i="8"/>
  <c r="B200" i="8"/>
  <c r="O200" i="7"/>
  <c r="B198" i="8"/>
  <c r="O198" i="7"/>
  <c r="B197" i="8"/>
  <c r="O197" i="7"/>
  <c r="B196" i="8"/>
  <c r="O196" i="7"/>
  <c r="B195" i="8"/>
  <c r="O195" i="7"/>
  <c r="B194" i="8"/>
  <c r="O194" i="7"/>
  <c r="B193" i="8"/>
  <c r="O193" i="7"/>
  <c r="B192" i="8"/>
  <c r="O192" i="7"/>
  <c r="B191" i="8"/>
  <c r="O191" i="7"/>
  <c r="B190" i="8"/>
  <c r="O190" i="7"/>
  <c r="B189" i="8"/>
  <c r="O189" i="7"/>
  <c r="B188" i="8"/>
  <c r="O188" i="7"/>
  <c r="O187" i="7"/>
  <c r="B187" i="8"/>
  <c r="B186" i="8"/>
  <c r="O186" i="7"/>
  <c r="O185" i="7"/>
  <c r="B185" i="8"/>
  <c r="B184" i="8"/>
  <c r="O184" i="7"/>
  <c r="B183" i="8"/>
  <c r="O183" i="7"/>
  <c r="O182" i="7"/>
  <c r="B182" i="8"/>
  <c r="O181" i="7"/>
  <c r="B181" i="8"/>
  <c r="O180" i="7"/>
  <c r="B180" i="8"/>
  <c r="B179" i="8"/>
  <c r="O179" i="7"/>
  <c r="O178" i="7"/>
  <c r="B178" i="8"/>
  <c r="O177" i="7"/>
  <c r="B177" i="8"/>
  <c r="O176" i="7"/>
  <c r="B176" i="8"/>
  <c r="O175" i="7"/>
  <c r="B175" i="8"/>
  <c r="B174" i="8"/>
  <c r="O174" i="7"/>
  <c r="O173" i="7"/>
  <c r="B173" i="8"/>
  <c r="B172" i="8"/>
  <c r="O172" i="7"/>
  <c r="O171" i="7"/>
  <c r="B171" i="8"/>
  <c r="B170" i="8"/>
  <c r="O170" i="7"/>
  <c r="B169" i="8"/>
  <c r="O169" i="7"/>
  <c r="O168" i="7"/>
  <c r="B168" i="8"/>
  <c r="O167" i="7"/>
  <c r="B167" i="8"/>
  <c r="O166" i="7"/>
  <c r="B166" i="8"/>
  <c r="O165" i="7"/>
  <c r="B165" i="8"/>
  <c r="O164" i="7"/>
  <c r="B164" i="8"/>
  <c r="O163" i="7"/>
  <c r="B163" i="8"/>
  <c r="O162" i="7"/>
  <c r="B162" i="8"/>
  <c r="O161" i="7"/>
  <c r="B161" i="8"/>
  <c r="O160" i="7"/>
  <c r="B160" i="8"/>
  <c r="O159" i="7"/>
  <c r="B159" i="8"/>
  <c r="O158" i="7"/>
  <c r="B158" i="8"/>
  <c r="O157" i="7"/>
  <c r="B157" i="8"/>
  <c r="B156" i="8"/>
  <c r="O156" i="7"/>
  <c r="B155" i="8"/>
  <c r="O155" i="7"/>
  <c r="B154" i="8"/>
  <c r="O154" i="7"/>
  <c r="O153" i="7"/>
  <c r="B153" i="8"/>
  <c r="B152" i="8"/>
  <c r="O152" i="7"/>
  <c r="O151" i="7"/>
  <c r="B151" i="8"/>
  <c r="O150" i="7"/>
  <c r="B150" i="8"/>
  <c r="O149" i="7"/>
  <c r="B149" i="8"/>
  <c r="O148" i="7"/>
  <c r="B148" i="8"/>
  <c r="O147" i="7"/>
  <c r="B147" i="8"/>
  <c r="O146" i="7"/>
  <c r="B146" i="8"/>
  <c r="B145" i="8"/>
  <c r="O145" i="7"/>
  <c r="B144" i="8"/>
  <c r="O144" i="7"/>
  <c r="B143" i="8"/>
  <c r="O143" i="7"/>
  <c r="O142" i="7"/>
  <c r="B142" i="8"/>
  <c r="O141" i="7"/>
  <c r="B141" i="8"/>
  <c r="B140" i="8"/>
  <c r="O140" i="7"/>
  <c r="B139" i="8"/>
  <c r="O139" i="7"/>
  <c r="O138" i="7"/>
  <c r="B138" i="8"/>
  <c r="O137" i="7"/>
  <c r="B137" i="8"/>
  <c r="B136" i="8"/>
  <c r="O136" i="7"/>
  <c r="O135" i="7"/>
  <c r="B135" i="8"/>
  <c r="B134" i="8"/>
  <c r="O134" i="7"/>
  <c r="B133" i="8"/>
  <c r="O133" i="7"/>
  <c r="B132" i="8"/>
  <c r="O132" i="7"/>
  <c r="O131" i="7"/>
  <c r="B131" i="8"/>
  <c r="B130" i="8"/>
  <c r="O130" i="7"/>
  <c r="B129" i="8"/>
  <c r="O129" i="7"/>
  <c r="B128" i="8"/>
  <c r="O128" i="7"/>
  <c r="B127" i="8"/>
  <c r="O127" i="7"/>
  <c r="O126" i="7"/>
  <c r="B126" i="8"/>
  <c r="B125" i="8"/>
  <c r="O125" i="7"/>
  <c r="O124" i="7"/>
  <c r="B124" i="8"/>
  <c r="B123" i="8"/>
  <c r="O123" i="7"/>
  <c r="B122" i="8"/>
  <c r="O122" i="7"/>
  <c r="O121" i="7"/>
  <c r="B121" i="8"/>
  <c r="B120" i="8"/>
  <c r="O120" i="7"/>
  <c r="O119" i="7"/>
  <c r="B119" i="8"/>
  <c r="O118" i="7"/>
  <c r="B118" i="8"/>
  <c r="B117" i="8"/>
  <c r="O117" i="7"/>
  <c r="B116" i="8"/>
  <c r="O116" i="7"/>
  <c r="B115" i="8"/>
  <c r="O115" i="7"/>
  <c r="B114" i="8"/>
  <c r="O114" i="7"/>
  <c r="O113" i="7"/>
  <c r="B113" i="8"/>
  <c r="O112" i="7"/>
  <c r="B112" i="8"/>
  <c r="B111" i="8"/>
  <c r="O111" i="7"/>
  <c r="B110" i="8"/>
  <c r="O110" i="7"/>
  <c r="B109" i="8"/>
  <c r="O109" i="7"/>
  <c r="B108" i="8"/>
  <c r="O108" i="7"/>
  <c r="O107" i="7"/>
  <c r="B107" i="8"/>
  <c r="O106" i="7"/>
  <c r="B106" i="8"/>
  <c r="B105" i="8"/>
  <c r="O105" i="7"/>
  <c r="B104" i="8"/>
  <c r="O104" i="7"/>
  <c r="B103" i="8"/>
  <c r="O103" i="7"/>
  <c r="B102" i="8"/>
  <c r="O102" i="7"/>
  <c r="B101" i="8"/>
  <c r="O101" i="7"/>
  <c r="O100" i="7"/>
  <c r="B100" i="8"/>
  <c r="O99" i="7"/>
  <c r="B99" i="8"/>
  <c r="B98" i="8"/>
  <c r="O98" i="7"/>
  <c r="B97" i="8"/>
  <c r="O97" i="7"/>
  <c r="B96" i="8"/>
  <c r="O96" i="7"/>
  <c r="B95" i="8"/>
  <c r="O95" i="7"/>
  <c r="O94" i="7"/>
  <c r="B94" i="8"/>
  <c r="B93" i="8"/>
  <c r="O93" i="7"/>
  <c r="O92" i="7"/>
  <c r="B92" i="8"/>
  <c r="O91" i="7"/>
  <c r="B91" i="8"/>
  <c r="B90" i="8"/>
  <c r="O90" i="7"/>
  <c r="B89" i="8"/>
  <c r="O89" i="7"/>
  <c r="O88" i="7"/>
  <c r="B88" i="8"/>
  <c r="O87" i="7"/>
  <c r="B87" i="8"/>
  <c r="B86" i="8"/>
  <c r="O86" i="7"/>
  <c r="B85" i="8"/>
  <c r="O85" i="7"/>
  <c r="B84" i="8"/>
  <c r="O84" i="7"/>
  <c r="O83" i="7"/>
  <c r="B83" i="8"/>
  <c r="B82" i="8"/>
  <c r="O82" i="7"/>
  <c r="B81" i="8"/>
  <c r="O81" i="7"/>
  <c r="B80" i="8"/>
  <c r="O80" i="7"/>
  <c r="B79" i="8"/>
  <c r="O79" i="7"/>
  <c r="O78" i="7"/>
  <c r="B78" i="8"/>
  <c r="B77" i="8"/>
  <c r="O77" i="7"/>
  <c r="O76" i="7"/>
  <c r="B76" i="8"/>
  <c r="B75" i="8"/>
  <c r="O75" i="7"/>
  <c r="O74" i="7"/>
  <c r="B74" i="8"/>
  <c r="B73" i="8"/>
  <c r="O73" i="7"/>
  <c r="O72" i="7"/>
  <c r="B72" i="8"/>
  <c r="B71" i="8"/>
  <c r="O71" i="7"/>
  <c r="O70" i="7"/>
  <c r="B70" i="8"/>
  <c r="O69" i="7"/>
  <c r="B69" i="8"/>
  <c r="O68" i="7"/>
  <c r="B68" i="8"/>
  <c r="B67" i="8"/>
  <c r="O67" i="7"/>
  <c r="O66" i="7"/>
  <c r="B66" i="8"/>
  <c r="B65" i="8"/>
  <c r="O65" i="7"/>
  <c r="O64" i="7"/>
  <c r="B64" i="8"/>
  <c r="O63" i="7"/>
  <c r="B63" i="8"/>
  <c r="B62" i="8"/>
  <c r="O62" i="7"/>
  <c r="B61" i="8"/>
  <c r="O61" i="7"/>
  <c r="B60" i="8"/>
  <c r="O60" i="7"/>
  <c r="B59" i="8"/>
  <c r="O59" i="7"/>
  <c r="B58" i="8"/>
  <c r="O58" i="7"/>
  <c r="O57" i="7"/>
  <c r="B57" i="8"/>
  <c r="O56" i="7"/>
  <c r="B56" i="8"/>
  <c r="O55" i="7"/>
  <c r="B55" i="8"/>
  <c r="O54" i="7"/>
  <c r="B54" i="8"/>
  <c r="B53" i="8"/>
  <c r="O53" i="7"/>
  <c r="B52" i="8"/>
  <c r="O52" i="7"/>
  <c r="B51" i="8"/>
  <c r="O51" i="7"/>
  <c r="O50" i="7"/>
  <c r="B50" i="8"/>
  <c r="O49" i="7"/>
  <c r="B49" i="8"/>
  <c r="O48" i="7"/>
  <c r="B48" i="8"/>
  <c r="B47" i="8"/>
  <c r="O47" i="7"/>
  <c r="B46" i="8"/>
  <c r="O46" i="7"/>
  <c r="B45" i="8"/>
  <c r="O45" i="7"/>
  <c r="O44" i="7"/>
  <c r="B44" i="8"/>
  <c r="B43" i="8"/>
  <c r="O43" i="7"/>
  <c r="O42" i="7"/>
  <c r="B42" i="8"/>
  <c r="O41" i="7"/>
  <c r="B41" i="8"/>
  <c r="O40" i="7"/>
  <c r="B40" i="8"/>
  <c r="O39" i="7"/>
  <c r="B39" i="8"/>
  <c r="O38" i="7"/>
  <c r="B38" i="8"/>
  <c r="B37" i="8"/>
  <c r="O37" i="7"/>
  <c r="B36" i="8"/>
  <c r="O36" i="7"/>
  <c r="B35" i="8"/>
  <c r="O35" i="7"/>
  <c r="B34" i="8"/>
  <c r="O34" i="7"/>
  <c r="B33" i="8"/>
  <c r="O33" i="7"/>
  <c r="B32" i="8"/>
  <c r="O32" i="7"/>
  <c r="B31" i="8"/>
  <c r="O31" i="7"/>
  <c r="O30" i="7"/>
  <c r="B30" i="8"/>
  <c r="B29" i="8"/>
  <c r="O29" i="7"/>
  <c r="B28" i="8"/>
  <c r="O28" i="7"/>
  <c r="O27" i="7"/>
  <c r="B27" i="8"/>
  <c r="O26" i="7"/>
  <c r="B26" i="8"/>
  <c r="B25" i="8"/>
  <c r="O25" i="7"/>
  <c r="O24" i="7"/>
  <c r="B24" i="8"/>
  <c r="O23" i="7"/>
  <c r="B23" i="8"/>
  <c r="O22" i="7"/>
  <c r="B22" i="8"/>
  <c r="O21" i="7"/>
  <c r="B21" i="8"/>
  <c r="O20" i="7"/>
  <c r="B20" i="8"/>
  <c r="B19" i="8"/>
  <c r="O19" i="7"/>
  <c r="B18" i="8"/>
  <c r="O18" i="7"/>
  <c r="O17" i="7"/>
  <c r="B17" i="8"/>
  <c r="B16" i="8"/>
  <c r="O16" i="7"/>
  <c r="O15" i="7"/>
  <c r="B15" i="8"/>
  <c r="O14" i="7"/>
  <c r="B14" i="8"/>
  <c r="O13" i="7"/>
  <c r="B13" i="8"/>
  <c r="O12" i="7"/>
  <c r="B12" i="8"/>
  <c r="B11" i="8"/>
  <c r="O11" i="7"/>
  <c r="B10" i="8"/>
  <c r="O10" i="7"/>
  <c r="B9" i="8"/>
  <c r="O9" i="7"/>
  <c r="O8" i="7"/>
  <c r="B8" i="8"/>
  <c r="O7" i="7"/>
  <c r="B7" i="8"/>
  <c r="O6" i="7"/>
  <c r="B6" i="8"/>
  <c r="B5" i="8"/>
  <c r="O5" i="7"/>
  <c r="B4" i="8"/>
  <c r="O4" i="7"/>
  <c r="B3" i="8"/>
  <c r="O3" i="7"/>
  <c r="B2" i="8"/>
  <c r="O2" i="7"/>
  <c r="I25" i="6"/>
  <c r="L25" i="6"/>
  <c r="F25" i="6"/>
  <c r="C25" i="6"/>
  <c r="D25" i="6"/>
  <c r="G25" i="6"/>
  <c r="M25" i="6"/>
  <c r="E25" i="6"/>
  <c r="K25" i="6"/>
  <c r="J25" i="6"/>
  <c r="H25" i="6"/>
  <c r="B25" i="6"/>
  <c r="E24" i="6"/>
  <c r="J24" i="6"/>
  <c r="K24" i="6"/>
  <c r="L24" i="6"/>
  <c r="F24" i="6"/>
  <c r="D24" i="6"/>
  <c r="G24" i="6"/>
  <c r="B24" i="6"/>
  <c r="H24" i="6"/>
  <c r="M24" i="6"/>
  <c r="I24" i="6"/>
  <c r="C24" i="6"/>
  <c r="I23" i="6"/>
  <c r="D23" i="6"/>
  <c r="C23" i="6"/>
  <c r="B23" i="6"/>
  <c r="G23" i="6"/>
  <c r="J23" i="6"/>
  <c r="F23" i="6"/>
  <c r="K23" i="6"/>
  <c r="M23" i="6"/>
  <c r="L23" i="6"/>
  <c r="H23" i="6"/>
  <c r="E23" i="6"/>
  <c r="I22" i="6"/>
  <c r="G22" i="6"/>
  <c r="B22" i="6"/>
  <c r="L22" i="6"/>
  <c r="C22" i="6"/>
  <c r="J22" i="6"/>
  <c r="F22" i="6"/>
  <c r="D22" i="6"/>
  <c r="K22" i="6"/>
  <c r="E22" i="6"/>
  <c r="M22" i="6"/>
  <c r="H22" i="6"/>
  <c r="H21" i="6"/>
  <c r="C21" i="6"/>
  <c r="K21" i="6"/>
  <c r="M21" i="6"/>
  <c r="I21" i="6"/>
  <c r="J21" i="6"/>
  <c r="F21" i="6"/>
  <c r="D21" i="6"/>
  <c r="E21" i="6"/>
  <c r="L21" i="6"/>
  <c r="G21" i="6"/>
  <c r="B21" i="6"/>
  <c r="I20" i="6"/>
  <c r="M20" i="6"/>
  <c r="E20" i="6"/>
  <c r="K20" i="6"/>
  <c r="F20" i="6"/>
  <c r="B20" i="6"/>
  <c r="C20" i="6"/>
  <c r="H20" i="6"/>
  <c r="G20" i="6"/>
  <c r="L20" i="6"/>
  <c r="J20" i="6"/>
  <c r="D20" i="6"/>
  <c r="C19" i="6"/>
  <c r="L19" i="6"/>
  <c r="F19" i="6"/>
  <c r="J19" i="6"/>
  <c r="B19" i="6"/>
  <c r="H19" i="6"/>
  <c r="E19" i="6"/>
  <c r="K19" i="6"/>
  <c r="M19" i="6"/>
  <c r="G19" i="6"/>
  <c r="D19" i="6"/>
  <c r="I19" i="6"/>
  <c r="E18" i="6"/>
  <c r="L18" i="6"/>
  <c r="F18" i="6"/>
  <c r="J18" i="6"/>
  <c r="M18" i="6"/>
  <c r="H18" i="6"/>
  <c r="C18" i="6"/>
  <c r="B18" i="6"/>
  <c r="I18" i="6"/>
  <c r="D18" i="6"/>
  <c r="G18" i="6"/>
  <c r="K18" i="6"/>
  <c r="F14" i="8"/>
  <c r="E14" i="8"/>
  <c r="I17" i="6"/>
  <c r="C17" i="6"/>
  <c r="G17" i="6"/>
  <c r="L17" i="6"/>
  <c r="D17" i="6"/>
  <c r="J17" i="6"/>
  <c r="H87" i="8"/>
  <c r="G87" i="8"/>
  <c r="F87" i="8"/>
  <c r="E87" i="8"/>
  <c r="D87" i="8"/>
  <c r="H14" i="8"/>
  <c r="G14" i="8"/>
  <c r="M17" i="6"/>
  <c r="C233" i="8"/>
  <c r="D233" i="8"/>
  <c r="E233" i="8"/>
  <c r="F233" i="8"/>
  <c r="G233" i="8"/>
  <c r="E17" i="6"/>
  <c r="B17" i="6"/>
  <c r="C160" i="8"/>
  <c r="D160" i="8"/>
  <c r="F17" i="6"/>
  <c r="K17" i="6"/>
  <c r="E160" i="8"/>
  <c r="F160" i="8"/>
  <c r="H17" i="6"/>
  <c r="G160" i="8"/>
  <c r="H160" i="8"/>
  <c r="H233" i="8"/>
  <c r="I233" i="8" s="1"/>
  <c r="F16" i="6"/>
  <c r="G16" i="6"/>
  <c r="H16" i="6"/>
  <c r="I16" i="6"/>
  <c r="L16" i="6"/>
  <c r="K16" i="6"/>
  <c r="C16" i="6"/>
  <c r="B16" i="6"/>
  <c r="D16" i="6"/>
  <c r="E16" i="6"/>
  <c r="J16" i="6"/>
  <c r="B15" i="6"/>
  <c r="C15" i="6"/>
  <c r="D15" i="6"/>
  <c r="E15" i="6"/>
  <c r="F15" i="6"/>
  <c r="G15" i="6"/>
  <c r="H15" i="6"/>
  <c r="I15" i="6"/>
  <c r="J15" i="6"/>
  <c r="K15" i="6"/>
  <c r="L15" i="6"/>
  <c r="M15" i="6"/>
  <c r="D14" i="6"/>
  <c r="C14" i="6"/>
  <c r="B14" i="6"/>
  <c r="G14" i="6"/>
  <c r="F14" i="6"/>
  <c r="E14" i="6"/>
  <c r="L14" i="6"/>
  <c r="M14" i="6"/>
  <c r="K14" i="6"/>
  <c r="J14" i="6"/>
  <c r="I14" i="6"/>
  <c r="H14" i="6"/>
  <c r="M13" i="6"/>
  <c r="L13" i="6"/>
  <c r="K13" i="6"/>
  <c r="B13" i="6"/>
  <c r="C13" i="6"/>
  <c r="D13" i="6"/>
  <c r="E13" i="6"/>
  <c r="F13" i="6"/>
  <c r="G13" i="6"/>
  <c r="H13" i="6"/>
  <c r="J13" i="6"/>
  <c r="I13" i="6"/>
  <c r="J12" i="6"/>
  <c r="K12" i="6"/>
  <c r="L12" i="6"/>
  <c r="M12" i="6"/>
  <c r="F12" i="6"/>
  <c r="B12" i="6"/>
  <c r="G12" i="6"/>
  <c r="C12" i="6"/>
  <c r="E12" i="6"/>
  <c r="H12" i="6"/>
  <c r="D12" i="6"/>
  <c r="I12" i="6"/>
  <c r="D11" i="6"/>
  <c r="C11" i="6"/>
  <c r="B11" i="6"/>
  <c r="G2" i="8" s="1"/>
  <c r="M11" i="6"/>
  <c r="L11" i="6"/>
  <c r="K11" i="6"/>
  <c r="J11" i="6"/>
  <c r="I11" i="6"/>
  <c r="H11" i="6"/>
  <c r="G11" i="6"/>
  <c r="F11" i="6"/>
  <c r="E11" i="6"/>
  <c r="H10" i="6"/>
  <c r="M10" i="6"/>
  <c r="E10" i="6"/>
  <c r="D10" i="6"/>
  <c r="C10" i="6"/>
  <c r="K10" i="6"/>
  <c r="F10" i="6"/>
  <c r="B10" i="6"/>
  <c r="I10" i="6"/>
  <c r="J10" i="6"/>
  <c r="L10" i="6"/>
  <c r="G10" i="6"/>
  <c r="C9" i="6"/>
  <c r="D9" i="6"/>
  <c r="E9" i="6"/>
  <c r="F9" i="6"/>
  <c r="G9" i="6"/>
  <c r="I9" i="6"/>
  <c r="J9" i="6"/>
  <c r="M9" i="6"/>
  <c r="H9" i="6"/>
  <c r="B9" i="6"/>
  <c r="L9" i="6"/>
  <c r="K9" i="6"/>
  <c r="L8" i="6"/>
  <c r="M8" i="6"/>
  <c r="K8" i="6"/>
  <c r="J8" i="6"/>
  <c r="I8" i="6"/>
  <c r="H8" i="6"/>
  <c r="G8" i="6"/>
  <c r="F8" i="6"/>
  <c r="E8" i="6"/>
  <c r="D8" i="6"/>
  <c r="C8" i="6"/>
  <c r="B8" i="6"/>
  <c r="I7" i="6"/>
  <c r="G7" i="6"/>
  <c r="D7" i="6"/>
  <c r="C7" i="6"/>
  <c r="B7" i="6"/>
  <c r="E7" i="6"/>
  <c r="F7" i="6"/>
  <c r="H7" i="6"/>
  <c r="M7" i="6"/>
  <c r="L7" i="6"/>
  <c r="K7" i="6"/>
  <c r="J7" i="6"/>
  <c r="H6" i="6"/>
  <c r="I6" i="6"/>
  <c r="J6" i="6"/>
  <c r="K6" i="6"/>
  <c r="L6" i="6"/>
  <c r="M6" i="6"/>
  <c r="D6" i="6"/>
  <c r="B6" i="6"/>
  <c r="C6" i="6"/>
  <c r="E6" i="6"/>
  <c r="F6" i="6"/>
  <c r="G6" i="6"/>
  <c r="J5" i="6"/>
  <c r="I5" i="6"/>
  <c r="H5" i="6"/>
  <c r="G5" i="6"/>
  <c r="M5" i="6"/>
  <c r="L5" i="6"/>
  <c r="K5" i="6"/>
  <c r="F5" i="6"/>
  <c r="E5" i="6"/>
  <c r="D5" i="6"/>
  <c r="C5" i="6"/>
  <c r="B5" i="6"/>
  <c r="E2" i="8" s="1"/>
  <c r="M4" i="6"/>
  <c r="L4" i="6"/>
  <c r="K4" i="6"/>
  <c r="J4" i="6"/>
  <c r="I4" i="6"/>
  <c r="H4" i="6"/>
  <c r="G4" i="6"/>
  <c r="F4" i="6"/>
  <c r="E4" i="6"/>
  <c r="D4" i="6"/>
  <c r="C4" i="6"/>
  <c r="B4" i="6"/>
  <c r="D2" i="8" s="1"/>
  <c r="F3" i="6"/>
  <c r="M3" i="6"/>
  <c r="L3" i="6"/>
  <c r="K3" i="6"/>
  <c r="J3" i="6"/>
  <c r="I3" i="6"/>
  <c r="H3" i="6"/>
  <c r="G3" i="6"/>
  <c r="E3" i="6"/>
  <c r="D3" i="6"/>
  <c r="C3" i="6"/>
  <c r="B3" i="6"/>
  <c r="B2" i="6"/>
  <c r="M2" i="6"/>
  <c r="L2" i="6"/>
  <c r="K2" i="6"/>
  <c r="J2" i="6"/>
  <c r="I2" i="6"/>
  <c r="H2" i="6"/>
  <c r="G2" i="6"/>
  <c r="F2" i="6"/>
  <c r="E2" i="6"/>
  <c r="D2" i="6"/>
  <c r="C2" i="6"/>
  <c r="Q20" i="7"/>
  <c r="S20" i="7" s="1"/>
  <c r="Q10" i="7"/>
  <c r="S10" i="7" s="1"/>
  <c r="Q2" i="7"/>
  <c r="S2" i="7" s="1"/>
  <c r="Q22" i="7"/>
  <c r="S22" i="7" s="1"/>
  <c r="Q17" i="7"/>
  <c r="S17" i="7" s="1"/>
  <c r="Q4" i="7"/>
  <c r="S4" i="7" s="1"/>
  <c r="Q5" i="7"/>
  <c r="S5" i="7" s="1"/>
  <c r="Q13" i="7"/>
  <c r="S13" i="7" s="1"/>
  <c r="Q18" i="7"/>
  <c r="S18" i="7" s="1"/>
  <c r="E5" i="4"/>
  <c r="Q23" i="7"/>
  <c r="S23" i="7" s="1"/>
  <c r="Q19" i="7"/>
  <c r="S19" i="7" s="1"/>
  <c r="Q21" i="7"/>
  <c r="S21" i="7" s="1"/>
  <c r="D5" i="4"/>
  <c r="Q24" i="7"/>
  <c r="S24" i="7" s="1"/>
  <c r="Q3" i="7"/>
  <c r="S3" i="7" s="1"/>
  <c r="Q7" i="7"/>
  <c r="S7" i="7" s="1"/>
  <c r="Q9" i="7"/>
  <c r="S9" i="7" s="1"/>
  <c r="Q11" i="7"/>
  <c r="S11" i="7" s="1"/>
  <c r="Q14" i="7"/>
  <c r="S14" i="7" s="1"/>
  <c r="Q25" i="7"/>
  <c r="S25" i="7" s="1"/>
  <c r="Q15" i="7"/>
  <c r="S15" i="7" s="1"/>
  <c r="Q8" i="7"/>
  <c r="S8" i="7" s="1"/>
  <c r="Q6" i="7"/>
  <c r="S6" i="7" s="1"/>
  <c r="Q16" i="7"/>
  <c r="S16" i="7" s="1"/>
  <c r="C5" i="4"/>
  <c r="Q12" i="7"/>
  <c r="S12" i="7" s="1"/>
  <c r="I84" i="8" l="1"/>
  <c r="I60" i="8"/>
  <c r="I56" i="8"/>
  <c r="F2" i="8"/>
  <c r="I52" i="8"/>
  <c r="C2" i="8"/>
  <c r="H2" i="8"/>
  <c r="I67" i="8"/>
  <c r="I153" i="8"/>
  <c r="I151" i="8"/>
  <c r="I142" i="8"/>
  <c r="I157" i="8"/>
  <c r="I39" i="8"/>
  <c r="I170" i="8"/>
  <c r="I158" i="8"/>
  <c r="I30" i="8"/>
  <c r="I25" i="8"/>
  <c r="I22" i="8"/>
  <c r="I232" i="8"/>
  <c r="I218" i="8"/>
  <c r="I214" i="8"/>
  <c r="I266" i="8"/>
  <c r="I215" i="8"/>
  <c r="I265" i="8"/>
  <c r="I133" i="8"/>
  <c r="I131" i="8"/>
  <c r="I249" i="8"/>
  <c r="I252" i="8"/>
  <c r="I71" i="8"/>
  <c r="I253" i="8"/>
  <c r="I212" i="8"/>
  <c r="I86" i="8"/>
  <c r="I27" i="8"/>
  <c r="I12" i="8"/>
  <c r="I138" i="8"/>
  <c r="I130" i="8"/>
  <c r="I160" i="8"/>
  <c r="I164" i="8"/>
  <c r="N8" i="6"/>
  <c r="N3" i="6"/>
  <c r="I70" i="8"/>
  <c r="N4" i="6"/>
  <c r="I264" i="8"/>
  <c r="I261" i="8"/>
  <c r="N25" i="6"/>
  <c r="I237" i="8"/>
  <c r="I189" i="8"/>
  <c r="I36" i="8"/>
  <c r="I23" i="8"/>
  <c r="I183" i="8"/>
  <c r="I104" i="8"/>
  <c r="I101" i="8"/>
  <c r="I90" i="8"/>
  <c r="R2" i="7"/>
  <c r="R4" i="7"/>
  <c r="R13" i="7"/>
  <c r="R19" i="7"/>
  <c r="R21" i="7"/>
  <c r="R5" i="7"/>
  <c r="R18" i="7"/>
  <c r="R22" i="7"/>
  <c r="R24" i="7"/>
  <c r="B6" i="4"/>
  <c r="R6" i="7"/>
  <c r="R8" i="7"/>
  <c r="R10" i="7"/>
  <c r="R15" i="7"/>
  <c r="R20" i="7"/>
  <c r="R25" i="7"/>
  <c r="R12" i="7"/>
  <c r="R14" i="7"/>
  <c r="R9" i="7"/>
  <c r="R11" i="7"/>
  <c r="R17" i="7"/>
  <c r="R3" i="7"/>
  <c r="R7" i="7"/>
  <c r="R16" i="7"/>
  <c r="R23" i="7"/>
  <c r="I289" i="8"/>
  <c r="I288" i="8"/>
  <c r="I287" i="8"/>
  <c r="I286" i="8"/>
  <c r="I285" i="8"/>
  <c r="I284" i="8"/>
  <c r="I283" i="8"/>
  <c r="I282" i="8"/>
  <c r="I281" i="8"/>
  <c r="I280" i="8"/>
  <c r="I279" i="8"/>
  <c r="I278" i="8"/>
  <c r="I277" i="8"/>
  <c r="I276" i="8"/>
  <c r="I275" i="8"/>
  <c r="I274" i="8"/>
  <c r="I273" i="8"/>
  <c r="I272" i="8"/>
  <c r="I271" i="8"/>
  <c r="I270" i="8"/>
  <c r="I269" i="8"/>
  <c r="I268" i="8"/>
  <c r="I267" i="8"/>
  <c r="I263" i="8"/>
  <c r="I262" i="8"/>
  <c r="I260" i="8"/>
  <c r="I259" i="8"/>
  <c r="I258" i="8"/>
  <c r="I257" i="8"/>
  <c r="I256" i="8"/>
  <c r="I255" i="8"/>
  <c r="I254" i="8"/>
  <c r="I251" i="8"/>
  <c r="I250" i="8"/>
  <c r="I248" i="8"/>
  <c r="I247" i="8"/>
  <c r="I246" i="8"/>
  <c r="I245" i="8"/>
  <c r="I244" i="8"/>
  <c r="I243" i="8"/>
  <c r="I242" i="8"/>
  <c r="I241" i="8"/>
  <c r="I240" i="8"/>
  <c r="I239" i="8"/>
  <c r="I238" i="8"/>
  <c r="I129" i="8"/>
  <c r="I126" i="8"/>
  <c r="I118" i="8"/>
  <c r="I116" i="8"/>
  <c r="I113" i="8"/>
  <c r="I112" i="8"/>
  <c r="I108" i="8"/>
  <c r="I107" i="8"/>
  <c r="I100" i="8"/>
  <c r="I99" i="8"/>
  <c r="I81" i="8"/>
  <c r="I79" i="8"/>
  <c r="N9" i="6"/>
  <c r="I236" i="8"/>
  <c r="I235" i="8"/>
  <c r="I234" i="8"/>
  <c r="I231" i="8"/>
  <c r="I230" i="8"/>
  <c r="I229" i="8"/>
  <c r="I228" i="8"/>
  <c r="I227" i="8"/>
  <c r="I226" i="8"/>
  <c r="I225" i="8"/>
  <c r="I224" i="8"/>
  <c r="I223" i="8"/>
  <c r="I222" i="8"/>
  <c r="I221" i="8"/>
  <c r="I220" i="8"/>
  <c r="I219" i="8"/>
  <c r="I217" i="8"/>
  <c r="I216" i="8"/>
  <c r="I213" i="8"/>
  <c r="I211" i="8"/>
  <c r="I210" i="8"/>
  <c r="I209" i="8"/>
  <c r="I208" i="8"/>
  <c r="I207" i="8"/>
  <c r="I206" i="8"/>
  <c r="I205" i="8"/>
  <c r="I204" i="8"/>
  <c r="I203" i="8"/>
  <c r="I202" i="8"/>
  <c r="I201" i="8"/>
  <c r="I200" i="8"/>
  <c r="I199" i="8"/>
  <c r="I198" i="8"/>
  <c r="I197" i="8"/>
  <c r="I196" i="8"/>
  <c r="I195" i="8"/>
  <c r="I194" i="8"/>
  <c r="I193" i="8"/>
  <c r="I192" i="8"/>
  <c r="I191" i="8"/>
  <c r="I190" i="8"/>
  <c r="I188" i="8"/>
  <c r="I187" i="8"/>
  <c r="I186" i="8"/>
  <c r="I185" i="8"/>
  <c r="I184" i="8"/>
  <c r="I145" i="8"/>
  <c r="I144" i="8"/>
  <c r="I143" i="8"/>
  <c r="I137" i="8"/>
  <c r="I135" i="8"/>
  <c r="I134" i="8"/>
  <c r="I128" i="8"/>
  <c r="I127" i="8"/>
  <c r="I125" i="8"/>
  <c r="I123" i="8"/>
  <c r="I121" i="8"/>
  <c r="I119" i="8"/>
  <c r="I106" i="8"/>
  <c r="I102" i="8"/>
  <c r="I94" i="8"/>
  <c r="I93" i="8"/>
  <c r="I91" i="8"/>
  <c r="I88" i="8"/>
  <c r="I85" i="8"/>
  <c r="I80" i="8"/>
  <c r="I78" i="8"/>
  <c r="I76" i="8"/>
  <c r="I87" i="8"/>
  <c r="I14" i="8"/>
  <c r="N17" i="6"/>
  <c r="N16" i="6"/>
  <c r="I182" i="8"/>
  <c r="I181" i="8"/>
  <c r="I180" i="8"/>
  <c r="I179" i="8"/>
  <c r="I178" i="8"/>
  <c r="I177" i="8"/>
  <c r="I176" i="8"/>
  <c r="I175" i="8"/>
  <c r="I174" i="8"/>
  <c r="I173" i="8"/>
  <c r="I172" i="8"/>
  <c r="I171" i="8"/>
  <c r="I169" i="8"/>
  <c r="I168" i="8"/>
  <c r="I167" i="8"/>
  <c r="I166" i="8"/>
  <c r="I165" i="8"/>
  <c r="I163" i="8"/>
  <c r="I162" i="8"/>
  <c r="I161" i="8"/>
  <c r="I159" i="8"/>
  <c r="I156" i="8"/>
  <c r="I155" i="8"/>
  <c r="I154" i="8"/>
  <c r="I152" i="8"/>
  <c r="I150" i="8"/>
  <c r="I149" i="8"/>
  <c r="I148" i="8"/>
  <c r="I147" i="8"/>
  <c r="I146" i="8"/>
  <c r="I141" i="8"/>
  <c r="I140" i="8"/>
  <c r="I139" i="8"/>
  <c r="I136" i="8"/>
  <c r="I132" i="8"/>
  <c r="I124" i="8"/>
  <c r="I122" i="8"/>
  <c r="I120" i="8"/>
  <c r="I117" i="8"/>
  <c r="I114" i="8"/>
  <c r="I111" i="8"/>
  <c r="I110" i="8"/>
  <c r="I109" i="8"/>
  <c r="I105" i="8"/>
  <c r="I97" i="8"/>
  <c r="I96" i="8"/>
  <c r="I95" i="8"/>
  <c r="I83" i="8"/>
  <c r="I82" i="8"/>
  <c r="I77" i="8"/>
  <c r="I75" i="8"/>
  <c r="I74" i="8"/>
  <c r="I73" i="8"/>
  <c r="I72" i="8"/>
  <c r="I69" i="8"/>
  <c r="I68" i="8"/>
  <c r="I66" i="8"/>
  <c r="I65" i="8"/>
  <c r="I64" i="8"/>
  <c r="I63" i="8"/>
  <c r="I62" i="8"/>
  <c r="I61" i="8"/>
  <c r="I59" i="8"/>
  <c r="I58" i="8"/>
  <c r="I57" i="8"/>
  <c r="I55" i="8"/>
  <c r="I54" i="8"/>
  <c r="I53" i="8"/>
  <c r="I51" i="8"/>
  <c r="I50" i="8"/>
  <c r="I49" i="8"/>
  <c r="I48" i="8"/>
  <c r="I47" i="8"/>
  <c r="I46" i="8"/>
  <c r="I45" i="8"/>
  <c r="I44" i="8"/>
  <c r="I43" i="8"/>
  <c r="I42" i="8"/>
  <c r="I41" i="8"/>
  <c r="I40" i="8"/>
  <c r="I38" i="8"/>
  <c r="I37" i="8"/>
  <c r="I35" i="8"/>
  <c r="I34" i="8"/>
  <c r="I33" i="8"/>
  <c r="I32" i="8"/>
  <c r="I31" i="8"/>
  <c r="I29" i="8"/>
  <c r="I28" i="8"/>
  <c r="I26" i="8"/>
  <c r="I24" i="8"/>
  <c r="N18" i="6"/>
  <c r="N14" i="6"/>
  <c r="N13" i="6"/>
  <c r="N12" i="6"/>
  <c r="N10" i="6"/>
  <c r="N7" i="6"/>
  <c r="I21" i="8"/>
  <c r="I20" i="8"/>
  <c r="I19" i="8"/>
  <c r="I18" i="8"/>
  <c r="I17" i="8"/>
  <c r="I16" i="8"/>
  <c r="I15" i="8"/>
  <c r="I13" i="8"/>
  <c r="I11" i="8"/>
  <c r="I9" i="8"/>
  <c r="I7" i="8"/>
  <c r="I6" i="8"/>
  <c r="I5" i="8"/>
  <c r="I4" i="8"/>
  <c r="I3" i="8"/>
  <c r="N19" i="6"/>
  <c r="N11" i="6"/>
  <c r="N6" i="6"/>
  <c r="N2" i="6"/>
  <c r="N24" i="6"/>
  <c r="N23" i="6"/>
  <c r="N22" i="6"/>
  <c r="N21" i="6"/>
  <c r="N20" i="6"/>
  <c r="N15" i="6"/>
  <c r="N5" i="6"/>
  <c r="I2" i="8" l="1"/>
  <c r="B24" i="9"/>
  <c r="B3" i="9"/>
  <c r="B10" i="9"/>
  <c r="B8" i="9"/>
  <c r="B2" i="9"/>
  <c r="B21" i="9"/>
  <c r="B14" i="9"/>
  <c r="B6" i="9"/>
  <c r="B7" i="9"/>
  <c r="B13" i="9"/>
  <c r="B19" i="9"/>
  <c r="B9" i="9"/>
  <c r="B12" i="9"/>
  <c r="B11" i="9"/>
  <c r="B17" i="9"/>
  <c r="B25" i="9"/>
  <c r="B5" i="9"/>
  <c r="B22" i="9"/>
  <c r="B23" i="9"/>
  <c r="B16" i="9"/>
  <c r="B20" i="9"/>
  <c r="B4" i="9"/>
  <c r="B15" i="9"/>
  <c r="B18" i="9"/>
  <c r="Q27" i="7"/>
  <c r="S27" i="7" s="1"/>
  <c r="C6" i="4"/>
  <c r="E6" i="4"/>
  <c r="D6" i="4"/>
  <c r="Q26" i="7"/>
  <c r="S26" i="7" s="1"/>
  <c r="Q28" i="7"/>
  <c r="S28" i="7" s="1"/>
  <c r="Q29" i="7"/>
  <c r="S29" i="7" s="1"/>
  <c r="Q30" i="7"/>
  <c r="S30" i="7" s="1"/>
  <c r="Q31" i="7"/>
  <c r="S31" i="7" s="1"/>
  <c r="Q32" i="7"/>
  <c r="S32" i="7" s="1"/>
  <c r="Q33" i="7"/>
  <c r="S33" i="7" s="1"/>
  <c r="Q34" i="7"/>
  <c r="S34" i="7" s="1"/>
  <c r="Q35" i="7"/>
  <c r="S35" i="7" s="1"/>
  <c r="Q36" i="7"/>
  <c r="S36" i="7" s="1"/>
  <c r="Q37" i="7"/>
  <c r="S37" i="7" s="1"/>
  <c r="Q38" i="7"/>
  <c r="S38" i="7" s="1"/>
  <c r="Q39" i="7"/>
  <c r="S39" i="7" s="1"/>
  <c r="Q40" i="7"/>
  <c r="S40" i="7" s="1"/>
  <c r="Q41" i="7"/>
  <c r="S41" i="7" s="1"/>
  <c r="Q42" i="7"/>
  <c r="S42" i="7" s="1"/>
  <c r="Q43" i="7"/>
  <c r="S43" i="7" s="1"/>
  <c r="Q44" i="7"/>
  <c r="S44" i="7" s="1"/>
  <c r="Q45" i="7"/>
  <c r="S45" i="7" s="1"/>
  <c r="Q46" i="7"/>
  <c r="S46" i="7" s="1"/>
  <c r="Q47" i="7"/>
  <c r="S47" i="7" s="1"/>
  <c r="Q48" i="7"/>
  <c r="S48" i="7" s="1"/>
  <c r="Q49" i="7"/>
  <c r="S49" i="7" s="1"/>
  <c r="C15" i="9" l="1"/>
  <c r="C18" i="9"/>
  <c r="C19" i="9"/>
  <c r="C8" i="9"/>
  <c r="C6" i="9"/>
  <c r="C16" i="9"/>
  <c r="C20" i="9"/>
  <c r="C17" i="9"/>
  <c r="C10" i="9"/>
  <c r="C14" i="9"/>
  <c r="C7" i="9"/>
  <c r="C12" i="9"/>
  <c r="C4" i="9"/>
  <c r="C23" i="9"/>
  <c r="C22" i="9"/>
  <c r="C24" i="9"/>
  <c r="C2" i="9"/>
  <c r="C5" i="9"/>
  <c r="C11" i="9"/>
  <c r="C13" i="9"/>
  <c r="C9" i="9"/>
  <c r="C3" i="9"/>
  <c r="C25" i="9"/>
  <c r="C21" i="9"/>
  <c r="R26" i="7"/>
  <c r="R29" i="7"/>
  <c r="R30" i="7"/>
  <c r="R31" i="7"/>
  <c r="R32" i="7"/>
  <c r="R33" i="7"/>
  <c r="R34" i="7"/>
  <c r="R35" i="7"/>
  <c r="R36" i="7"/>
  <c r="R37" i="7"/>
  <c r="R38" i="7"/>
  <c r="R39" i="7"/>
  <c r="R40" i="7"/>
  <c r="R41" i="7"/>
  <c r="R42" i="7"/>
  <c r="R43" i="7"/>
  <c r="R44" i="7"/>
  <c r="R45" i="7"/>
  <c r="R46" i="7"/>
  <c r="R47" i="7"/>
  <c r="R48" i="7"/>
  <c r="R49" i="7"/>
  <c r="R27" i="7"/>
  <c r="B7" i="4"/>
  <c r="R28" i="7"/>
  <c r="E7" i="4" l="1"/>
  <c r="C7" i="4"/>
  <c r="Q50" i="7"/>
  <c r="S50" i="7" s="1"/>
  <c r="Q51" i="7"/>
  <c r="S51" i="7" s="1"/>
  <c r="Q52" i="7"/>
  <c r="S52" i="7" s="1"/>
  <c r="Q53" i="7"/>
  <c r="S53" i="7" s="1"/>
  <c r="Q54" i="7"/>
  <c r="S54" i="7" s="1"/>
  <c r="Q55" i="7"/>
  <c r="S55" i="7" s="1"/>
  <c r="Q56" i="7"/>
  <c r="S56" i="7" s="1"/>
  <c r="Q57" i="7"/>
  <c r="S57" i="7" s="1"/>
  <c r="Q58" i="7"/>
  <c r="S58" i="7" s="1"/>
  <c r="Q59" i="7"/>
  <c r="S59" i="7" s="1"/>
  <c r="Q60" i="7"/>
  <c r="S60" i="7" s="1"/>
  <c r="Q61" i="7"/>
  <c r="S61" i="7" s="1"/>
  <c r="Q62" i="7"/>
  <c r="S62" i="7" s="1"/>
  <c r="Q63" i="7"/>
  <c r="S63" i="7" s="1"/>
  <c r="Q64" i="7"/>
  <c r="S64" i="7" s="1"/>
  <c r="Q65" i="7"/>
  <c r="S65" i="7" s="1"/>
  <c r="Q66" i="7"/>
  <c r="S66" i="7" s="1"/>
  <c r="Q67" i="7"/>
  <c r="S67" i="7" s="1"/>
  <c r="Q68" i="7"/>
  <c r="S68" i="7" s="1"/>
  <c r="Q69" i="7"/>
  <c r="S69" i="7" s="1"/>
  <c r="Q70" i="7"/>
  <c r="S70" i="7" s="1"/>
  <c r="Q71" i="7"/>
  <c r="S71" i="7" s="1"/>
  <c r="Q72" i="7"/>
  <c r="S72" i="7" s="1"/>
  <c r="Q73" i="7"/>
  <c r="S73" i="7" s="1"/>
  <c r="D7" i="4"/>
  <c r="B8" i="4" l="1"/>
  <c r="R50" i="7"/>
  <c r="R51" i="7"/>
  <c r="R52" i="7"/>
  <c r="R53" i="7"/>
  <c r="R54" i="7"/>
  <c r="R55" i="7"/>
  <c r="R56" i="7"/>
  <c r="R57" i="7"/>
  <c r="R58" i="7"/>
  <c r="R59" i="7"/>
  <c r="R60" i="7"/>
  <c r="R61" i="7"/>
  <c r="R62" i="7"/>
  <c r="R63" i="7"/>
  <c r="R64" i="7"/>
  <c r="R65" i="7"/>
  <c r="R66" i="7"/>
  <c r="R67" i="7"/>
  <c r="R68" i="7"/>
  <c r="R69" i="7"/>
  <c r="R70" i="7"/>
  <c r="R71" i="7"/>
  <c r="R72" i="7"/>
  <c r="R73" i="7"/>
  <c r="Q91" i="7" l="1"/>
  <c r="S91" i="7" s="1"/>
  <c r="Q96" i="7"/>
  <c r="S96" i="7" s="1"/>
  <c r="D8" i="4"/>
  <c r="Q74" i="7"/>
  <c r="S74" i="7" s="1"/>
  <c r="Q75" i="7"/>
  <c r="S75" i="7" s="1"/>
  <c r="Q76" i="7"/>
  <c r="S76" i="7" s="1"/>
  <c r="Q77" i="7"/>
  <c r="S77" i="7" s="1"/>
  <c r="Q78" i="7"/>
  <c r="S78" i="7" s="1"/>
  <c r="Q79" i="7"/>
  <c r="S79" i="7" s="1"/>
  <c r="Q80" i="7"/>
  <c r="S80" i="7" s="1"/>
  <c r="Q81" i="7"/>
  <c r="S81" i="7" s="1"/>
  <c r="Q82" i="7"/>
  <c r="S82" i="7" s="1"/>
  <c r="Q83" i="7"/>
  <c r="S83" i="7" s="1"/>
  <c r="Q84" i="7"/>
  <c r="S84" i="7" s="1"/>
  <c r="Q85" i="7"/>
  <c r="S85" i="7" s="1"/>
  <c r="Q86" i="7"/>
  <c r="S86" i="7" s="1"/>
  <c r="Q87" i="7"/>
  <c r="S87" i="7" s="1"/>
  <c r="Q88" i="7"/>
  <c r="S88" i="7" s="1"/>
  <c r="Q89" i="7"/>
  <c r="S89" i="7" s="1"/>
  <c r="C8" i="4"/>
  <c r="Q90" i="7"/>
  <c r="S90" i="7" s="1"/>
  <c r="Q94" i="7"/>
  <c r="S94" i="7" s="1"/>
  <c r="Q97" i="7"/>
  <c r="S97" i="7" s="1"/>
  <c r="E8" i="4"/>
  <c r="Q93" i="7"/>
  <c r="S93" i="7" s="1"/>
  <c r="Q95" i="7"/>
  <c r="S95" i="7" s="1"/>
  <c r="Q92" i="7"/>
  <c r="S92" i="7" s="1"/>
  <c r="R92" i="7" l="1"/>
  <c r="R96" i="7"/>
  <c r="R91" i="7"/>
  <c r="R90" i="7"/>
  <c r="R95" i="7"/>
  <c r="R93" i="7"/>
  <c r="R97" i="7"/>
  <c r="B9" i="4"/>
  <c r="R94" i="7"/>
  <c r="R74" i="7"/>
  <c r="R75" i="7"/>
  <c r="R76" i="7"/>
  <c r="R77" i="7"/>
  <c r="R78" i="7"/>
  <c r="R79" i="7"/>
  <c r="R80" i="7"/>
  <c r="R81" i="7"/>
  <c r="R82" i="7"/>
  <c r="R83" i="7"/>
  <c r="R84" i="7"/>
  <c r="R85" i="7"/>
  <c r="R86" i="7"/>
  <c r="R87" i="7"/>
  <c r="R88" i="7"/>
  <c r="R89" i="7"/>
  <c r="Q98" i="7" l="1"/>
  <c r="S98" i="7" s="1"/>
  <c r="Q100" i="7"/>
  <c r="S100" i="7" s="1"/>
  <c r="Q105" i="7"/>
  <c r="S105" i="7" s="1"/>
  <c r="Q112" i="7"/>
  <c r="S112" i="7" s="1"/>
  <c r="Q114" i="7"/>
  <c r="S114" i="7" s="1"/>
  <c r="Q117" i="7"/>
  <c r="S117" i="7" s="1"/>
  <c r="Q121" i="7"/>
  <c r="S121" i="7" s="1"/>
  <c r="D9" i="4"/>
  <c r="Q102" i="7"/>
  <c r="S102" i="7" s="1"/>
  <c r="C9" i="4"/>
  <c r="Q101" i="7"/>
  <c r="S101" i="7" s="1"/>
  <c r="Q106" i="7"/>
  <c r="S106" i="7" s="1"/>
  <c r="Q107" i="7"/>
  <c r="S107" i="7" s="1"/>
  <c r="Q116" i="7"/>
  <c r="S116" i="7" s="1"/>
  <c r="Q119" i="7"/>
  <c r="S119" i="7" s="1"/>
  <c r="Q120" i="7"/>
  <c r="S120" i="7" s="1"/>
  <c r="Q104" i="7"/>
  <c r="S104" i="7" s="1"/>
  <c r="Q103" i="7"/>
  <c r="S103" i="7" s="1"/>
  <c r="Q109" i="7"/>
  <c r="S109" i="7" s="1"/>
  <c r="Q111" i="7"/>
  <c r="S111" i="7" s="1"/>
  <c r="Q115" i="7"/>
  <c r="S115" i="7" s="1"/>
  <c r="Q118" i="7"/>
  <c r="S118" i="7" s="1"/>
  <c r="E9" i="4"/>
  <c r="Q99" i="7"/>
  <c r="S99" i="7" s="1"/>
  <c r="Q108" i="7"/>
  <c r="S108" i="7" s="1"/>
  <c r="Q110" i="7"/>
  <c r="S110" i="7" s="1"/>
  <c r="Q113" i="7"/>
  <c r="S113" i="7" s="1"/>
  <c r="R104" i="7" l="1"/>
  <c r="R110" i="7"/>
  <c r="R111" i="7"/>
  <c r="R114" i="7"/>
  <c r="R117" i="7"/>
  <c r="B10" i="4"/>
  <c r="R99" i="7"/>
  <c r="R101" i="7"/>
  <c r="R98" i="7"/>
  <c r="R112" i="7"/>
  <c r="R113" i="7"/>
  <c r="R116" i="7"/>
  <c r="R119" i="7"/>
  <c r="R102" i="7"/>
  <c r="R105" i="7"/>
  <c r="R120" i="7"/>
  <c r="R121" i="7"/>
  <c r="R103" i="7"/>
  <c r="R106" i="7"/>
  <c r="R108" i="7"/>
  <c r="R109" i="7"/>
  <c r="R115" i="7"/>
  <c r="R118" i="7"/>
  <c r="R100" i="7"/>
  <c r="R107" i="7"/>
  <c r="Q122" i="7" l="1"/>
  <c r="S122" i="7" s="1"/>
  <c r="Q123" i="7"/>
  <c r="S123" i="7" s="1"/>
  <c r="Q126" i="7"/>
  <c r="S126" i="7" s="1"/>
  <c r="Q127" i="7"/>
  <c r="S127" i="7" s="1"/>
  <c r="Q128" i="7"/>
  <c r="S128" i="7" s="1"/>
  <c r="Q130" i="7"/>
  <c r="S130" i="7" s="1"/>
  <c r="Q137" i="7"/>
  <c r="S137" i="7" s="1"/>
  <c r="Q133" i="7"/>
  <c r="S133" i="7" s="1"/>
  <c r="Q136" i="7"/>
  <c r="S136" i="7" s="1"/>
  <c r="Q141" i="7"/>
  <c r="S141" i="7" s="1"/>
  <c r="Q143" i="7"/>
  <c r="S143" i="7" s="1"/>
  <c r="Q144" i="7"/>
  <c r="S144" i="7" s="1"/>
  <c r="C10" i="4"/>
  <c r="Q131" i="7"/>
  <c r="S131" i="7" s="1"/>
  <c r="Q134" i="7"/>
  <c r="S134" i="7" s="1"/>
  <c r="Q138" i="7"/>
  <c r="S138" i="7" s="1"/>
  <c r="Q139" i="7"/>
  <c r="S139" i="7" s="1"/>
  <c r="Q140" i="7"/>
  <c r="S140" i="7" s="1"/>
  <c r="D10" i="4"/>
  <c r="E10" i="4"/>
  <c r="Q124" i="7"/>
  <c r="S124" i="7" s="1"/>
  <c r="Q125" i="7"/>
  <c r="S125" i="7" s="1"/>
  <c r="Q129" i="7"/>
  <c r="S129" i="7" s="1"/>
  <c r="Q132" i="7"/>
  <c r="S132" i="7" s="1"/>
  <c r="Q135" i="7"/>
  <c r="S135" i="7" s="1"/>
  <c r="Q142" i="7"/>
  <c r="S142" i="7" s="1"/>
  <c r="Q145" i="7"/>
  <c r="S145" i="7" s="1"/>
  <c r="R128" i="7" l="1"/>
  <c r="R132" i="7"/>
  <c r="R135" i="7"/>
  <c r="R141" i="7"/>
  <c r="R126" i="7"/>
  <c r="R133" i="7"/>
  <c r="R136" i="7"/>
  <c r="R139" i="7"/>
  <c r="R144" i="7"/>
  <c r="B11" i="4"/>
  <c r="R131" i="7"/>
  <c r="R134" i="7"/>
  <c r="R140" i="7"/>
  <c r="R143" i="7"/>
  <c r="R145" i="7"/>
  <c r="R122" i="7"/>
  <c r="R123" i="7"/>
  <c r="R124" i="7"/>
  <c r="R125" i="7"/>
  <c r="R127" i="7"/>
  <c r="R129" i="7"/>
  <c r="R130" i="7"/>
  <c r="R137" i="7"/>
  <c r="R138" i="7"/>
  <c r="R142" i="7"/>
  <c r="E11" i="4" l="1"/>
  <c r="Q148" i="7"/>
  <c r="S148" i="7" s="1"/>
  <c r="Q152" i="7"/>
  <c r="S152" i="7" s="1"/>
  <c r="Q155" i="7"/>
  <c r="S155" i="7" s="1"/>
  <c r="Q159" i="7"/>
  <c r="S159" i="7" s="1"/>
  <c r="Q166" i="7"/>
  <c r="S166" i="7" s="1"/>
  <c r="Q167" i="7"/>
  <c r="S167" i="7" s="1"/>
  <c r="Q168" i="7"/>
  <c r="S168" i="7" s="1"/>
  <c r="D11" i="4"/>
  <c r="Q150" i="7"/>
  <c r="S150" i="7" s="1"/>
  <c r="Q151" i="7"/>
  <c r="S151" i="7" s="1"/>
  <c r="Q162" i="7"/>
  <c r="S162" i="7" s="1"/>
  <c r="Q169" i="7"/>
  <c r="S169" i="7" s="1"/>
  <c r="Q149" i="7"/>
  <c r="S149" i="7" s="1"/>
  <c r="Q156" i="7"/>
  <c r="S156" i="7" s="1"/>
  <c r="Q157" i="7"/>
  <c r="S157" i="7" s="1"/>
  <c r="Q158" i="7"/>
  <c r="S158" i="7" s="1"/>
  <c r="Q161" i="7"/>
  <c r="S161" i="7" s="1"/>
  <c r="Q165" i="7"/>
  <c r="S165" i="7" s="1"/>
  <c r="C11" i="4"/>
  <c r="Q146" i="7"/>
  <c r="S146" i="7" s="1"/>
  <c r="Q147" i="7"/>
  <c r="S147" i="7" s="1"/>
  <c r="Q153" i="7"/>
  <c r="S153" i="7" s="1"/>
  <c r="Q154" i="7"/>
  <c r="S154" i="7" s="1"/>
  <c r="Q160" i="7"/>
  <c r="S160" i="7" s="1"/>
  <c r="Q163" i="7"/>
  <c r="S163" i="7" s="1"/>
  <c r="Q164" i="7"/>
  <c r="S164" i="7" s="1"/>
  <c r="B12" i="4" l="1"/>
  <c r="R148" i="7"/>
  <c r="R155" i="7"/>
  <c r="R161" i="7"/>
  <c r="R165" i="7"/>
  <c r="R168" i="7"/>
  <c r="R169" i="7"/>
  <c r="R149" i="7"/>
  <c r="R156" i="7"/>
  <c r="R160" i="7"/>
  <c r="R163" i="7"/>
  <c r="R164" i="7"/>
  <c r="R147" i="7"/>
  <c r="R152" i="7"/>
  <c r="R153" i="7"/>
  <c r="R154" i="7"/>
  <c r="R157" i="7"/>
  <c r="R158" i="7"/>
  <c r="R159" i="7"/>
  <c r="R166" i="7"/>
  <c r="R146" i="7"/>
  <c r="R150" i="7"/>
  <c r="R151" i="7"/>
  <c r="R162" i="7"/>
  <c r="R167" i="7"/>
  <c r="Q175" i="7" l="1"/>
  <c r="S175" i="7" s="1"/>
  <c r="Q177" i="7"/>
  <c r="S177" i="7" s="1"/>
  <c r="Q181" i="7"/>
  <c r="S181" i="7" s="1"/>
  <c r="Q184" i="7"/>
  <c r="S184" i="7" s="1"/>
  <c r="Q190" i="7"/>
  <c r="S190" i="7" s="1"/>
  <c r="Q191" i="7"/>
  <c r="S191" i="7" s="1"/>
  <c r="Q172" i="7"/>
  <c r="S172" i="7" s="1"/>
  <c r="Q173" i="7"/>
  <c r="S173" i="7" s="1"/>
  <c r="Q174" i="7"/>
  <c r="S174" i="7" s="1"/>
  <c r="Q182" i="7"/>
  <c r="S182" i="7" s="1"/>
  <c r="Q185" i="7"/>
  <c r="S185" i="7" s="1"/>
  <c r="Q186" i="7"/>
  <c r="S186" i="7" s="1"/>
  <c r="Q188" i="7"/>
  <c r="S188" i="7" s="1"/>
  <c r="Q189" i="7"/>
  <c r="S189" i="7" s="1"/>
  <c r="Q193" i="7"/>
  <c r="S193" i="7" s="1"/>
  <c r="D12" i="4"/>
  <c r="Q171" i="7"/>
  <c r="S171" i="7" s="1"/>
  <c r="Q176" i="7"/>
  <c r="S176" i="7" s="1"/>
  <c r="Q179" i="7"/>
  <c r="S179" i="7" s="1"/>
  <c r="Q187" i="7"/>
  <c r="S187" i="7" s="1"/>
  <c r="C12" i="4"/>
  <c r="Q170" i="7"/>
  <c r="S170" i="7" s="1"/>
  <c r="Q178" i="7"/>
  <c r="S178" i="7" s="1"/>
  <c r="Q180" i="7"/>
  <c r="S180" i="7" s="1"/>
  <c r="Q183" i="7"/>
  <c r="S183" i="7" s="1"/>
  <c r="Q192" i="7"/>
  <c r="S192" i="7" s="1"/>
  <c r="E12" i="4"/>
  <c r="R171" i="7" l="1"/>
  <c r="R172" i="7"/>
  <c r="R181" i="7"/>
  <c r="R184" i="7"/>
  <c r="R193" i="7"/>
  <c r="R170" i="7"/>
  <c r="R174" i="7"/>
  <c r="R176" i="7"/>
  <c r="R178" i="7"/>
  <c r="R182" i="7"/>
  <c r="R185" i="7"/>
  <c r="R188" i="7"/>
  <c r="R192" i="7"/>
  <c r="B13" i="4"/>
  <c r="R175" i="7"/>
  <c r="R179" i="7"/>
  <c r="R183" i="7"/>
  <c r="R187" i="7"/>
  <c r="R190" i="7"/>
  <c r="R191" i="7"/>
  <c r="R173" i="7"/>
  <c r="R177" i="7"/>
  <c r="R180" i="7"/>
  <c r="R186" i="7"/>
  <c r="R189" i="7"/>
  <c r="Q195" i="7" l="1"/>
  <c r="S195" i="7" s="1"/>
  <c r="Q197" i="7"/>
  <c r="S197" i="7" s="1"/>
  <c r="Q201" i="7"/>
  <c r="S201" i="7" s="1"/>
  <c r="Q208" i="7"/>
  <c r="S208" i="7" s="1"/>
  <c r="Q213" i="7"/>
  <c r="S213" i="7" s="1"/>
  <c r="Q217" i="7"/>
  <c r="S217" i="7" s="1"/>
  <c r="Q200" i="7"/>
  <c r="S200" i="7" s="1"/>
  <c r="Q204" i="7"/>
  <c r="S204" i="7" s="1"/>
  <c r="Q205" i="7"/>
  <c r="S205" i="7" s="1"/>
  <c r="Q214" i="7"/>
  <c r="S214" i="7" s="1"/>
  <c r="Q216" i="7"/>
  <c r="S216" i="7" s="1"/>
  <c r="Q199" i="7"/>
  <c r="S199" i="7" s="1"/>
  <c r="Q206" i="7"/>
  <c r="S206" i="7" s="1"/>
  <c r="Q210" i="7"/>
  <c r="S210" i="7" s="1"/>
  <c r="Q211" i="7"/>
  <c r="S211" i="7" s="1"/>
  <c r="Q212" i="7"/>
  <c r="S212" i="7" s="1"/>
  <c r="Q215" i="7"/>
  <c r="S215" i="7" s="1"/>
  <c r="D13" i="4"/>
  <c r="E13" i="4"/>
  <c r="Q198" i="7"/>
  <c r="S198" i="7" s="1"/>
  <c r="C13" i="4"/>
  <c r="Q194" i="7"/>
  <c r="S194" i="7" s="1"/>
  <c r="Q196" i="7"/>
  <c r="S196" i="7" s="1"/>
  <c r="Q202" i="7"/>
  <c r="S202" i="7" s="1"/>
  <c r="Q203" i="7"/>
  <c r="S203" i="7" s="1"/>
  <c r="Q207" i="7"/>
  <c r="S207" i="7" s="1"/>
  <c r="Q209" i="7"/>
  <c r="S209" i="7" s="1"/>
  <c r="R197" i="7" l="1"/>
  <c r="R199" i="7"/>
  <c r="R204" i="7"/>
  <c r="R208" i="7"/>
  <c r="R210" i="7"/>
  <c r="R211" i="7"/>
  <c r="R212" i="7"/>
  <c r="R213" i="7"/>
  <c r="R202" i="7"/>
  <c r="R205" i="7"/>
  <c r="R214" i="7"/>
  <c r="B14" i="4"/>
  <c r="R196" i="7"/>
  <c r="R201" i="7"/>
  <c r="R206" i="7"/>
  <c r="R209" i="7"/>
  <c r="R215" i="7"/>
  <c r="R217" i="7"/>
  <c r="R194" i="7"/>
  <c r="R195" i="7"/>
  <c r="R200" i="7"/>
  <c r="R203" i="7"/>
  <c r="R207" i="7"/>
  <c r="R216" i="7"/>
  <c r="R198" i="7"/>
  <c r="Q221" i="7" l="1"/>
  <c r="S221" i="7" s="1"/>
  <c r="Q232" i="7"/>
  <c r="S232" i="7" s="1"/>
  <c r="Q236" i="7"/>
  <c r="S236" i="7" s="1"/>
  <c r="Q237" i="7"/>
  <c r="S237" i="7" s="1"/>
  <c r="E14" i="4"/>
  <c r="Q220" i="7"/>
  <c r="S220" i="7" s="1"/>
  <c r="Q225" i="7"/>
  <c r="S225" i="7" s="1"/>
  <c r="Q227" i="7"/>
  <c r="S227" i="7" s="1"/>
  <c r="Q230" i="7"/>
  <c r="S230" i="7" s="1"/>
  <c r="Q231" i="7"/>
  <c r="S231" i="7" s="1"/>
  <c r="Q235" i="7"/>
  <c r="S235" i="7" s="1"/>
  <c r="Q239" i="7"/>
  <c r="S239" i="7" s="1"/>
  <c r="C14" i="4"/>
  <c r="Q218" i="7"/>
  <c r="S218" i="7" s="1"/>
  <c r="Q222" i="7"/>
  <c r="S222" i="7" s="1"/>
  <c r="Q223" i="7"/>
  <c r="S223" i="7" s="1"/>
  <c r="Q229" i="7"/>
  <c r="S229" i="7" s="1"/>
  <c r="Q233" i="7"/>
  <c r="S233" i="7" s="1"/>
  <c r="Q238" i="7"/>
  <c r="S238" i="7" s="1"/>
  <c r="D14" i="4"/>
  <c r="Q219" i="7"/>
  <c r="S219" i="7" s="1"/>
  <c r="Q224" i="7"/>
  <c r="S224" i="7" s="1"/>
  <c r="Q226" i="7"/>
  <c r="S226" i="7" s="1"/>
  <c r="Q228" i="7"/>
  <c r="S228" i="7" s="1"/>
  <c r="Q234" i="7"/>
  <c r="S234" i="7" s="1"/>
  <c r="Q240" i="7"/>
  <c r="S240" i="7" s="1"/>
  <c r="Q241" i="7"/>
  <c r="S241" i="7" s="1"/>
  <c r="B15" i="4" l="1"/>
  <c r="R219" i="7"/>
  <c r="R234" i="7"/>
  <c r="R239" i="7"/>
  <c r="R240" i="7"/>
  <c r="R220" i="7"/>
  <c r="R221" i="7"/>
  <c r="R222" i="7"/>
  <c r="R227" i="7"/>
  <c r="R229" i="7"/>
  <c r="R230" i="7"/>
  <c r="R231" i="7"/>
  <c r="R235" i="7"/>
  <c r="R236" i="7"/>
  <c r="R218" i="7"/>
  <c r="R224" i="7"/>
  <c r="R225" i="7"/>
  <c r="R226" i="7"/>
  <c r="R228" i="7"/>
  <c r="R238" i="7"/>
  <c r="R241" i="7"/>
  <c r="R223" i="7"/>
  <c r="R232" i="7"/>
  <c r="R233" i="7"/>
  <c r="R237" i="7"/>
  <c r="Q246" i="7" l="1"/>
  <c r="S246" i="7" s="1"/>
  <c r="Q251" i="7"/>
  <c r="S251" i="7" s="1"/>
  <c r="Q252" i="7"/>
  <c r="S252" i="7" s="1"/>
  <c r="Q255" i="7"/>
  <c r="S255" i="7" s="1"/>
  <c r="Q257" i="7"/>
  <c r="S257" i="7" s="1"/>
  <c r="Q244" i="7"/>
  <c r="S244" i="7" s="1"/>
  <c r="Q248" i="7"/>
  <c r="S248" i="7" s="1"/>
  <c r="Q249" i="7"/>
  <c r="S249" i="7" s="1"/>
  <c r="Q250" i="7"/>
  <c r="S250" i="7" s="1"/>
  <c r="Q253" i="7"/>
  <c r="S253" i="7" s="1"/>
  <c r="Q254" i="7"/>
  <c r="S254" i="7" s="1"/>
  <c r="Q260" i="7"/>
  <c r="S260" i="7" s="1"/>
  <c r="Q261" i="7"/>
  <c r="S261" i="7" s="1"/>
  <c r="Q265" i="7"/>
  <c r="S265" i="7" s="1"/>
  <c r="Q243" i="7"/>
  <c r="S243" i="7" s="1"/>
  <c r="Q247" i="7"/>
  <c r="S247" i="7" s="1"/>
  <c r="Q259" i="7"/>
  <c r="S259" i="7" s="1"/>
  <c r="Q262" i="7"/>
  <c r="S262" i="7" s="1"/>
  <c r="Q264" i="7"/>
  <c r="S264" i="7" s="1"/>
  <c r="D15" i="4"/>
  <c r="E15" i="4"/>
  <c r="Q242" i="7"/>
  <c r="S242" i="7" s="1"/>
  <c r="Q245" i="7"/>
  <c r="S245" i="7" s="1"/>
  <c r="Q256" i="7"/>
  <c r="S256" i="7" s="1"/>
  <c r="Q258" i="7"/>
  <c r="S258" i="7" s="1"/>
  <c r="Q263" i="7"/>
  <c r="S263" i="7" s="1"/>
  <c r="C15" i="4"/>
  <c r="B16" i="4" l="1"/>
  <c r="R242" i="7"/>
  <c r="R243" i="7"/>
  <c r="R247" i="7"/>
  <c r="R256" i="7"/>
  <c r="R245" i="7"/>
  <c r="R251" i="7"/>
  <c r="R255" i="7"/>
  <c r="R257" i="7"/>
  <c r="R258" i="7"/>
  <c r="R262" i="7"/>
  <c r="R263" i="7"/>
  <c r="R244" i="7"/>
  <c r="R248" i="7"/>
  <c r="R250" i="7"/>
  <c r="R254" i="7"/>
  <c r="R260" i="7"/>
  <c r="R265" i="7"/>
  <c r="R246" i="7"/>
  <c r="R249" i="7"/>
  <c r="R252" i="7"/>
  <c r="R253" i="7"/>
  <c r="R259" i="7"/>
  <c r="R261" i="7"/>
  <c r="R264" i="7"/>
  <c r="Q289" i="7" l="1"/>
  <c r="S289" i="7" s="1"/>
  <c r="C16" i="4"/>
  <c r="Q288" i="7"/>
  <c r="S288" i="7" s="1"/>
  <c r="Q266" i="7"/>
  <c r="S266" i="7" s="1"/>
  <c r="Q269" i="7"/>
  <c r="S269" i="7" s="1"/>
  <c r="Q270" i="7"/>
  <c r="S270" i="7" s="1"/>
  <c r="Q271" i="7"/>
  <c r="S271" i="7" s="1"/>
  <c r="Q272" i="7"/>
  <c r="S272" i="7" s="1"/>
  <c r="Q274" i="7"/>
  <c r="S274" i="7" s="1"/>
  <c r="Q275" i="7"/>
  <c r="S275" i="7" s="1"/>
  <c r="Q277" i="7"/>
  <c r="S277" i="7" s="1"/>
  <c r="Q279" i="7"/>
  <c r="S279" i="7" s="1"/>
  <c r="Q280" i="7"/>
  <c r="S280" i="7" s="1"/>
  <c r="Q281" i="7"/>
  <c r="S281" i="7" s="1"/>
  <c r="Q282" i="7"/>
  <c r="S282" i="7" s="1"/>
  <c r="Q283" i="7"/>
  <c r="S283" i="7" s="1"/>
  <c r="Q284" i="7"/>
  <c r="S284" i="7" s="1"/>
  <c r="Q267" i="7"/>
  <c r="S267" i="7" s="1"/>
  <c r="Q268" i="7"/>
  <c r="S268" i="7" s="1"/>
  <c r="Q273" i="7"/>
  <c r="S273" i="7" s="1"/>
  <c r="Q276" i="7"/>
  <c r="S276" i="7" s="1"/>
  <c r="Q286" i="7"/>
  <c r="S286" i="7" s="1"/>
  <c r="Q287" i="7"/>
  <c r="S287" i="7" s="1"/>
  <c r="E16" i="4"/>
  <c r="Q278" i="7"/>
  <c r="S278" i="7" s="1"/>
  <c r="Q285" i="7"/>
  <c r="S285" i="7" s="1"/>
  <c r="D16" i="4"/>
  <c r="R287" i="7" l="1"/>
  <c r="R267" i="7"/>
  <c r="R273" i="7"/>
  <c r="R276" i="7"/>
  <c r="R278" i="7"/>
  <c r="R279" i="7"/>
  <c r="R280" i="7"/>
  <c r="R281" i="7"/>
  <c r="R282" i="7"/>
  <c r="R283" i="7"/>
  <c r="R284" i="7"/>
  <c r="R288" i="7"/>
  <c r="R269" i="7"/>
  <c r="R270" i="7"/>
  <c r="R271" i="7"/>
  <c r="R274" i="7"/>
  <c r="R286" i="7"/>
  <c r="R275" i="7"/>
  <c r="R277" i="7"/>
  <c r="R285" i="7"/>
  <c r="R266" i="7"/>
  <c r="R268" i="7"/>
  <c r="R272" i="7"/>
  <c r="R289" i="7"/>
</calcChain>
</file>

<file path=xl/sharedStrings.xml><?xml version="1.0" encoding="utf-8"?>
<sst xmlns="http://schemas.openxmlformats.org/spreadsheetml/2006/main" count="132" uniqueCount="112">
  <si>
    <t>Fantasy de Clase — Guia de uso</t>
  </si>
  <si>
    <t>Plantilla para gestionar el Fantasy con 24 alumnos, plantillas de 5 jugadores y capitan.</t>
  </si>
  <si>
    <t>1. Alumnos</t>
  </si>
  <si>
    <t>Escribe el nombre real de cada uno de los 24 alumnos en la hoja 'Alumnos' (celdas en amarillo). No cambies los ID.</t>
  </si>
  <si>
    <t>2. Config_Puntos</t>
  </si>
  <si>
    <t>Ajusta el nombre y los puntos de cada evento puntuable en 'Config_Puntos' (celdas en amarillo). Puedes anadir filas nuevas si necesitas mas eventos, siguiendo el mismo formato.</t>
  </si>
  <si>
    <t>3. Calendario</t>
  </si>
  <si>
    <t>Muestra las 12 jornadas de 2 semanas entre el 21/09/2026 y el 05/03/2027 (la ultima dura 12 dias para cuadrar con el fin de temporada), con la fecha de apertura y cierre (24h) de cada ventana de fichajes. Si cambias las fechas de inicio/fin en B1/B2, las jornadas se recalculan solas.</t>
  </si>
  <si>
    <t>4. Eventos</t>
  </si>
  <si>
    <t>Cada vez que ocurra algo puntuable (participacion, entrega, examen, etc.) registra una fila en 'Eventos': fecha, jornada (1-12), alumno y tipo de evento. Los puntos se calculan solos.</t>
  </si>
  <si>
    <t>5. Puntos_Jornada</t>
  </si>
  <si>
    <t>Se calcula automaticamente: total de puntos de cada alumno en cada jornada, a partir de la hoja 'Eventos'. No editar a mano.</t>
  </si>
  <si>
    <t>6. Plantillas</t>
  </si>
  <si>
    <t>Al abrir cada ventana de fichajes (24h, al inicio de cada jornada de 2 semanas), cada uno de los 24 managers registra su plantilla de esa jornada: 5 jugadores (uno debe ser el mismo) y quien es el capitan (debe ser uno de los 5). Las fechas de la jornada se muestran solas, y las columnas de validacion avisan si algo no cuadra.</t>
  </si>
  <si>
    <t>7. Clasificacion</t>
  </si>
  <si>
    <t>Calcula automaticamente los puntos de cada manager en cada jornada (suma de sus 5 jugadores + bonus por duplicar al capitan) y el acumulado de toda la temporada.</t>
  </si>
  <si>
    <t>8. Validacion_Seleccion</t>
  </si>
  <si>
    <t>Comprueba que, sumando TODAS las plantillas de TODAS las jornadas, los 24 alumnos han sido fichados por alguien alguna vez. Si alguno sale en rojo, aun no ha sido seleccionado por nadie.</t>
  </si>
  <si>
    <t>Supuestos fijados al crear esta plantilla:</t>
  </si>
  <si>
    <t>- Temporada del 21/09/2026 al 05/03/2027, en 12 jornadas de 2 semanas (la ultima, del 22/02 al 05/03, dura 12 dias para cuadrar con el fin de temporada). Ver hoja 'Calendario'.</t>
  </si>
  <si>
    <t>- La ventana de fichajes dura 24h y se abre el mismo dia en que arranca cada jornada (ver columnas D y E de 'Calendario').</t>
  </si>
  <si>
    <t>- 'Seleccionado al menos una vez' se valida de forma ACUMULADA a lo largo de toda la temporada (todas las jornadas juntas), no jornada a jornada.</t>
  </si>
  <si>
    <t>- El capitan duplica su puntuacion: se suma su puntuacion una vez extra sobre el total de los 5 jugadores.</t>
  </si>
  <si>
    <t>ID</t>
  </si>
  <si>
    <t>Nombre</t>
  </si>
  <si>
    <t>Alumno 3</t>
  </si>
  <si>
    <t>Alumno 4</t>
  </si>
  <si>
    <t>Alumno 5</t>
  </si>
  <si>
    <t>Alumno 6</t>
  </si>
  <si>
    <t>Alumno 7</t>
  </si>
  <si>
    <t>Alumno 8</t>
  </si>
  <si>
    <t>Alumno 9</t>
  </si>
  <si>
    <t>Alumno 10</t>
  </si>
  <si>
    <t>Alumno 11</t>
  </si>
  <si>
    <t>Alumno 12</t>
  </si>
  <si>
    <t>Alumno 13</t>
  </si>
  <si>
    <t>Alumno 14</t>
  </si>
  <si>
    <t>Alumno 15</t>
  </si>
  <si>
    <t>Alumno 16</t>
  </si>
  <si>
    <t>Alumno 17</t>
  </si>
  <si>
    <t>Alumno 18</t>
  </si>
  <si>
    <t>Alumno 19</t>
  </si>
  <si>
    <t>Alumno 20</t>
  </si>
  <si>
    <t>Alumno 21</t>
  </si>
  <si>
    <t>Alumno 22</t>
  </si>
  <si>
    <t>Alumno 23</t>
  </si>
  <si>
    <t>Alumno 24</t>
  </si>
  <si>
    <t>Evento</t>
  </si>
  <si>
    <t>Puntos</t>
  </si>
  <si>
    <t>Entrega de tarea a tiempo</t>
  </si>
  <si>
    <t>Ayuda a un companero</t>
  </si>
  <si>
    <t>Comportamiento disruptivo</t>
  </si>
  <si>
    <t>Fecha inicio temporada</t>
  </si>
  <si>
    <t>Fecha fin temporada</t>
  </si>
  <si>
    <t>Jornada</t>
  </si>
  <si>
    <t>Fecha inicio jornada</t>
  </si>
  <si>
    <t>Fecha fin jornada</t>
  </si>
  <si>
    <t>Apertura ventana fichajes</t>
  </si>
  <si>
    <t>Cierre ventana fichajes (24h)</t>
  </si>
  <si>
    <t>Fecha</t>
  </si>
  <si>
    <t>Alumno</t>
  </si>
  <si>
    <t>Comentario</t>
  </si>
  <si>
    <t>Total temporada</t>
  </si>
  <si>
    <t>Manager</t>
  </si>
  <si>
    <t>Jugador 1</t>
  </si>
  <si>
    <t>Jugador 2</t>
  </si>
  <si>
    <t>Jugador 3</t>
  </si>
  <si>
    <t>Jugador 4</t>
  </si>
  <si>
    <t>Jugador 5</t>
  </si>
  <si>
    <t>Capitan</t>
  </si>
  <si>
    <t>Manager en su propia plantilla?</t>
  </si>
  <si>
    <t>Capitan valido?</t>
  </si>
  <si>
    <t>Ventana de fichajes</t>
  </si>
  <si>
    <t>Puntos Jugador 1</t>
  </si>
  <si>
    <t>Puntos Jugador 2</t>
  </si>
  <si>
    <t>Puntos Jugador 3</t>
  </si>
  <si>
    <t>Puntos Jugador 4</t>
  </si>
  <si>
    <t>Puntos Jugador 5</t>
  </si>
  <si>
    <t>Puntos Capitan (bonus)</t>
  </si>
  <si>
    <t>Total jornada</t>
  </si>
  <si>
    <t>Puntos totales temporada</t>
  </si>
  <si>
    <t>Veces fichado (toda la temporada)</t>
  </si>
  <si>
    <t>Estado</t>
  </si>
  <si>
    <t>J sin cambios: Navidad</t>
  </si>
  <si>
    <t>Posición</t>
  </si>
  <si>
    <t>Asistencia sin justificar</t>
  </si>
  <si>
    <t>Trabajo entregado con retraso</t>
  </si>
  <si>
    <t>Mejora respecto al anterior examen</t>
  </si>
  <si>
    <t>Participacion voluntaria (diversas formas)</t>
  </si>
  <si>
    <t>Nota -trabajo- &lt;5</t>
  </si>
  <si>
    <t>Nota -examen- &lt;5</t>
  </si>
  <si>
    <t>Valor plantilla</t>
  </si>
  <si>
    <t>V1</t>
  </si>
  <si>
    <t>V2</t>
  </si>
  <si>
    <t>V3</t>
  </si>
  <si>
    <t>V4</t>
  </si>
  <si>
    <t>V5</t>
  </si>
  <si>
    <t>Nota examen por encima de la media</t>
  </si>
  <si>
    <t>Valor J1</t>
  </si>
  <si>
    <t>Valor J2</t>
  </si>
  <si>
    <t>Alumno 1</t>
  </si>
  <si>
    <t>Alumno 2</t>
  </si>
  <si>
    <t>No ha tenido ausencias en la jornada</t>
  </si>
  <si>
    <t>Trabajo/Examen no entregado</t>
  </si>
  <si>
    <t>Examen &gt;9</t>
  </si>
  <si>
    <t>Examen 7&gt;X&lt;9</t>
  </si>
  <si>
    <t>Examen 6&gt;X&lt;7</t>
  </si>
  <si>
    <t>Examen 5&gt;X&lt;6</t>
  </si>
  <si>
    <t>Trabajo &gt;9</t>
  </si>
  <si>
    <t>Trabajo 7&gt;X&lt;9</t>
  </si>
  <si>
    <t>Trabajo 6&gt;X&lt;7</t>
  </si>
  <si>
    <t>Trabajo 5&gt;X&lt;6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</si>
</sst>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14"/>
      <color rgb="FF1F4E78"/>
      <name val="Arial"/>
      <charset val="1"/>
    </font>
    <font>
      <i/>
      <sz val="10"/>
      <color rgb="FF666666"/>
      <name val="Arial"/>
      <charset val="1"/>
    </font>
    <font>
      <b/>
      <sz val="11"/>
      <name val="Arial"/>
      <charset val="1"/>
    </font>
    <font>
      <sz val="10"/>
      <name val="Arial"/>
      <charset val="1"/>
    </font>
    <font>
      <b/>
      <i/>
      <sz val="10"/>
      <name val="Arial"/>
      <charset val="1"/>
    </font>
    <font>
      <b/>
      <sz val="11"/>
      <color rgb="FFFFFFFF"/>
      <name val="Arial"/>
      <charset val="1"/>
    </font>
    <font>
      <sz val="11"/>
      <name val="Arial"/>
      <charset val="1"/>
    </font>
    <font>
      <b/>
      <sz val="11"/>
      <color rgb="FFFFFFFF"/>
      <name val="Arial"/>
      <family val="2"/>
    </font>
    <font>
      <sz val="8"/>
      <name val="Calibri"/>
      <family val="2"/>
      <charset val="1"/>
    </font>
    <font>
      <sz val="11"/>
      <name val="Calibri"/>
      <family val="2"/>
      <scheme val="minor"/>
    </font>
  </fonts>
  <fills count="11">
    <fill>
      <patternFill patternType="none"/>
    </fill>
    <fill>
      <patternFill patternType="gray125"/>
    </fill>
    <fill>
      <patternFill patternType="solid">
        <fgColor rgb="FF1F4E78"/>
        <bgColor rgb="FF003366"/>
      </patternFill>
    </fill>
    <fill>
      <patternFill patternType="solid">
        <fgColor rgb="FFFFF2CC"/>
        <bgColor rgb="FFFFFFFF"/>
      </patternFill>
    </fill>
    <fill>
      <patternFill patternType="solid">
        <fgColor rgb="FFFFFF00"/>
        <bgColor indexed="64"/>
      </patternFill>
    </fill>
    <fill>
      <patternFill patternType="solid">
        <fgColor theme="9" tint="0.39997558519241921"/>
        <bgColor rgb="FFFFFFFF"/>
      </patternFill>
    </fill>
    <fill>
      <patternFill patternType="solid">
        <fgColor theme="7" tint="0.59999389629810485"/>
        <bgColor indexed="64"/>
      </patternFill>
    </fill>
    <fill>
      <patternFill patternType="solid">
        <fgColor rgb="FFC00000"/>
        <bgColor rgb="FF003366"/>
      </patternFill>
    </fill>
    <fill>
      <patternFill patternType="solid">
        <fgColor rgb="FF00B0F0"/>
        <bgColor rgb="FF003366"/>
      </patternFill>
    </fill>
    <fill>
      <patternFill patternType="solid">
        <fgColor theme="4" tint="-0.249977111117893"/>
        <bgColor rgb="FF003366"/>
      </patternFill>
    </fill>
    <fill>
      <patternFill patternType="solid">
        <fgColor theme="8" tint="0.79998168889431442"/>
        <bgColor rgb="FFFFFFFF"/>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medium">
        <color indexed="64"/>
      </left>
      <right style="medium">
        <color indexed="64"/>
      </right>
      <top style="medium">
        <color indexed="64"/>
      </top>
      <bottom style="thin">
        <color rgb="FFBFBFBF"/>
      </bottom>
      <diagonal/>
    </border>
    <border>
      <left style="medium">
        <color indexed="64"/>
      </left>
      <right style="medium">
        <color indexed="64"/>
      </right>
      <top style="thin">
        <color rgb="FFBFBFBF"/>
      </top>
      <bottom style="thin">
        <color rgb="FFBFBFBF"/>
      </bottom>
      <diagonal/>
    </border>
    <border>
      <left style="medium">
        <color indexed="64"/>
      </left>
      <right style="medium">
        <color indexed="64"/>
      </right>
      <top style="thin">
        <color rgb="FFBFBFBF"/>
      </top>
      <bottom style="medium">
        <color indexed="64"/>
      </bottom>
      <diagonal/>
    </border>
    <border>
      <left/>
      <right/>
      <top/>
      <bottom style="thin">
        <color rgb="FFBFBFBF"/>
      </bottom>
      <diagonal/>
    </border>
    <border>
      <left/>
      <right/>
      <top style="thin">
        <color rgb="FFBFBFBF"/>
      </top>
      <bottom style="thin">
        <color rgb="FFBFBFBF"/>
      </bottom>
      <diagonal/>
    </border>
    <border>
      <left/>
      <right/>
      <top style="thin">
        <color rgb="FFBFBFBF"/>
      </top>
      <bottom/>
      <diagonal/>
    </border>
  </borders>
  <cellStyleXfs count="1">
    <xf numFmtId="0" fontId="0" fillId="0" borderId="0"/>
  </cellStyleXfs>
  <cellXfs count="41">
    <xf numFmtId="0" fontId="0" fillId="0" borderId="0" xfId="0"/>
    <xf numFmtId="0" fontId="2" fillId="0" borderId="0" xfId="0" applyFont="1"/>
    <xf numFmtId="0" fontId="1" fillId="0" borderId="0" xfId="0" applyFont="1"/>
    <xf numFmtId="0" fontId="3" fillId="0" borderId="0" xfId="0" applyFont="1" applyAlignment="1">
      <alignment horizontal="left" vertical="center" wrapText="1"/>
    </xf>
    <xf numFmtId="0" fontId="5" fillId="0" borderId="0" xfId="0" applyFont="1"/>
    <xf numFmtId="0" fontId="6" fillId="2" borderId="1" xfId="0" applyFont="1" applyFill="1" applyBorder="1" applyAlignment="1">
      <alignment horizontal="center" vertical="center" wrapText="1"/>
    </xf>
    <xf numFmtId="0" fontId="0" fillId="0" borderId="1" xfId="0" applyBorder="1" applyAlignment="1">
      <alignment horizontal="center" vertical="center" wrapText="1"/>
    </xf>
    <xf numFmtId="0" fontId="7" fillId="3" borderId="1" xfId="0" applyFont="1" applyFill="1" applyBorder="1"/>
    <xf numFmtId="0" fontId="0" fillId="3" borderId="1" xfId="0" applyFill="1" applyBorder="1"/>
    <xf numFmtId="0" fontId="0" fillId="3" borderId="1" xfId="0" applyFill="1" applyBorder="1" applyAlignment="1">
      <alignment horizontal="center" vertical="center" wrapText="1"/>
    </xf>
    <xf numFmtId="0" fontId="3" fillId="0" borderId="0" xfId="0" applyFont="1"/>
    <xf numFmtId="14" fontId="0" fillId="3" borderId="0" xfId="0" applyNumberFormat="1" applyFill="1"/>
    <xf numFmtId="14" fontId="0" fillId="0" borderId="1" xfId="0" applyNumberFormat="1" applyBorder="1" applyAlignment="1">
      <alignment horizontal="center" vertical="center" wrapText="1"/>
    </xf>
    <xf numFmtId="0" fontId="0" fillId="0" borderId="1" xfId="0" applyBorder="1"/>
    <xf numFmtId="0" fontId="3" fillId="0" borderId="1" xfId="0" applyFont="1" applyBorder="1"/>
    <xf numFmtId="0" fontId="3" fillId="0" borderId="1" xfId="0" applyFont="1" applyBorder="1" applyAlignment="1">
      <alignment horizontal="center" vertical="center" wrapText="1"/>
    </xf>
    <xf numFmtId="0" fontId="0" fillId="4" borderId="0" xfId="0" applyFill="1"/>
    <xf numFmtId="14" fontId="0" fillId="0" borderId="1" xfId="0" applyNumberFormat="1" applyBorder="1"/>
    <xf numFmtId="0" fontId="0" fillId="5" borderId="1" xfId="0" applyFill="1" applyBorder="1"/>
    <xf numFmtId="0" fontId="0" fillId="5" borderId="1" xfId="0" applyFill="1" applyBorder="1" applyAlignment="1">
      <alignment horizontal="center" vertical="center" wrapText="1"/>
    </xf>
    <xf numFmtId="0" fontId="0" fillId="6" borderId="1" xfId="0" applyFill="1" applyBorder="1" applyAlignment="1">
      <alignment horizontal="center" vertical="center" wrapText="1"/>
    </xf>
    <xf numFmtId="0" fontId="0" fillId="6" borderId="1" xfId="0" applyFill="1" applyBorder="1"/>
    <xf numFmtId="0" fontId="0" fillId="0" borderId="2" xfId="0" applyBorder="1"/>
    <xf numFmtId="0" fontId="0" fillId="0" borderId="3" xfId="0" applyBorder="1" applyAlignment="1">
      <alignment horizontal="center" vertical="center" wrapText="1"/>
    </xf>
    <xf numFmtId="0" fontId="0" fillId="0" borderId="5" xfId="0" applyBorder="1"/>
    <xf numFmtId="0" fontId="0" fillId="6" borderId="2" xfId="0" applyFill="1" applyBorder="1"/>
    <xf numFmtId="0" fontId="6" fillId="7" borderId="4" xfId="0" applyFont="1" applyFill="1" applyBorder="1" applyAlignment="1">
      <alignment horizontal="center" vertical="center" wrapText="1"/>
    </xf>
    <xf numFmtId="0" fontId="0" fillId="0" borderId="6" xfId="0" applyBorder="1"/>
    <xf numFmtId="0" fontId="0" fillId="6" borderId="6" xfId="0" applyFill="1" applyBorder="1"/>
    <xf numFmtId="0" fontId="0" fillId="0" borderId="7" xfId="0" applyBorder="1"/>
    <xf numFmtId="0" fontId="8" fillId="2" borderId="1" xfId="0" applyFont="1" applyFill="1" applyBorder="1" applyAlignment="1">
      <alignment horizontal="center" vertical="center" wrapText="1"/>
    </xf>
    <xf numFmtId="0" fontId="0" fillId="0" borderId="0" xfId="0" applyAlignment="1">
      <alignment horizontal="center"/>
    </xf>
    <xf numFmtId="0" fontId="0" fillId="0" borderId="8" xfId="0" applyBorder="1"/>
    <xf numFmtId="0" fontId="0" fillId="0" borderId="9" xfId="0" applyBorder="1"/>
    <xf numFmtId="0" fontId="0" fillId="6" borderId="9" xfId="0" applyFill="1" applyBorder="1"/>
    <xf numFmtId="0" fontId="0" fillId="0" borderId="10" xfId="0" applyBorder="1"/>
    <xf numFmtId="0" fontId="6" fillId="8" borderId="1" xfId="0" applyFont="1" applyFill="1" applyBorder="1" applyAlignment="1">
      <alignment horizontal="center" vertical="center" wrapText="1"/>
    </xf>
    <xf numFmtId="0" fontId="8" fillId="9" borderId="4" xfId="0" applyFont="1" applyFill="1" applyBorder="1" applyAlignment="1">
      <alignment horizontal="center" vertical="center" wrapText="1"/>
    </xf>
    <xf numFmtId="0" fontId="10" fillId="10" borderId="0" xfId="0" applyFont="1" applyFill="1" applyAlignment="1">
      <alignment horizontal="center"/>
    </xf>
    <xf numFmtId="0" fontId="4" fillId="0" borderId="0" xfId="0" applyFont="1" applyAlignment="1">
      <alignment horizontal="left" vertical="center" wrapText="1"/>
    </xf>
    <xf numFmtId="0" fontId="2" fillId="0" borderId="0" xfId="0" applyFont="1"/>
  </cellXfs>
  <cellStyles count="1">
    <cellStyle name="Normal" xfId="0" builtinId="0"/>
  </cellStyles>
  <dxfs count="4">
    <dxf>
      <fill>
        <patternFill>
          <bgColor rgb="FFF8CBAD"/>
        </patternFill>
      </fill>
    </dxf>
    <dxf>
      <fill>
        <patternFill>
          <bgColor rgb="FFC6E0B4"/>
        </patternFill>
      </fill>
    </dxf>
    <dxf>
      <fill>
        <patternFill>
          <bgColor rgb="FFF8CBAD"/>
        </patternFill>
      </fill>
    </dxf>
    <dxf>
      <fill>
        <patternFill>
          <bgColor rgb="FFC6E0B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FF99"/>
      <rgbColor rgb="FF99CCFF"/>
      <rgbColor rgb="FFFF99CC"/>
      <rgbColor rgb="FFCC99FF"/>
      <rgbColor rgb="FFF8CBAD"/>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34"/>
  <sheetViews>
    <sheetView topLeftCell="A19" zoomScaleNormal="100" workbookViewId="0">
      <selection activeCell="B34" sqref="B34:G34"/>
    </sheetView>
  </sheetViews>
  <sheetFormatPr baseColWidth="10" defaultColWidth="8.7109375" defaultRowHeight="15" x14ac:dyDescent="0.25"/>
  <cols>
    <col min="1" max="1" width="3" customWidth="1"/>
    <col min="2" max="2" width="22" customWidth="1"/>
    <col min="3" max="7" width="16" customWidth="1"/>
  </cols>
  <sheetData>
    <row r="2" spans="2:7" ht="18" x14ac:dyDescent="0.25">
      <c r="B2" s="2" t="s">
        <v>0</v>
      </c>
    </row>
    <row r="3" spans="2:7" x14ac:dyDescent="0.25">
      <c r="B3" s="1" t="s">
        <v>1</v>
      </c>
    </row>
    <row r="5" spans="2:7" x14ac:dyDescent="0.25">
      <c r="B5" s="3" t="s">
        <v>2</v>
      </c>
    </row>
    <row r="6" spans="2:7" ht="30" customHeight="1" x14ac:dyDescent="0.25">
      <c r="B6" s="39" t="s">
        <v>3</v>
      </c>
      <c r="C6" s="39"/>
      <c r="D6" s="39"/>
      <c r="E6" s="39"/>
      <c r="F6" s="39"/>
      <c r="G6" s="39"/>
    </row>
    <row r="8" spans="2:7" x14ac:dyDescent="0.25">
      <c r="B8" s="3" t="s">
        <v>4</v>
      </c>
    </row>
    <row r="9" spans="2:7" ht="30" customHeight="1" x14ac:dyDescent="0.25">
      <c r="B9" s="39" t="s">
        <v>5</v>
      </c>
      <c r="C9" s="39"/>
      <c r="D9" s="39"/>
      <c r="E9" s="39"/>
      <c r="F9" s="39"/>
      <c r="G9" s="39"/>
    </row>
    <row r="11" spans="2:7" x14ac:dyDescent="0.25">
      <c r="B11" s="3" t="s">
        <v>6</v>
      </c>
    </row>
    <row r="12" spans="2:7" ht="30" customHeight="1" x14ac:dyDescent="0.25">
      <c r="B12" s="39" t="s">
        <v>7</v>
      </c>
      <c r="C12" s="39"/>
      <c r="D12" s="39"/>
      <c r="E12" s="39"/>
      <c r="F12" s="39"/>
      <c r="G12" s="39"/>
    </row>
    <row r="14" spans="2:7" x14ac:dyDescent="0.25">
      <c r="B14" s="3" t="s">
        <v>8</v>
      </c>
    </row>
    <row r="15" spans="2:7" ht="30" customHeight="1" x14ac:dyDescent="0.25">
      <c r="B15" s="39" t="s">
        <v>9</v>
      </c>
      <c r="C15" s="39"/>
      <c r="D15" s="39"/>
      <c r="E15" s="39"/>
      <c r="F15" s="39"/>
      <c r="G15" s="39"/>
    </row>
    <row r="17" spans="2:7" x14ac:dyDescent="0.25">
      <c r="B17" s="3" t="s">
        <v>10</v>
      </c>
    </row>
    <row r="18" spans="2:7" ht="30" customHeight="1" x14ac:dyDescent="0.25">
      <c r="B18" s="39" t="s">
        <v>11</v>
      </c>
      <c r="C18" s="39"/>
      <c r="D18" s="39"/>
      <c r="E18" s="39"/>
      <c r="F18" s="39"/>
      <c r="G18" s="39"/>
    </row>
    <row r="20" spans="2:7" x14ac:dyDescent="0.25">
      <c r="B20" s="3" t="s">
        <v>12</v>
      </c>
    </row>
    <row r="21" spans="2:7" ht="30" customHeight="1" x14ac:dyDescent="0.25">
      <c r="B21" s="39" t="s">
        <v>13</v>
      </c>
      <c r="C21" s="39"/>
      <c r="D21" s="39"/>
      <c r="E21" s="39"/>
      <c r="F21" s="39"/>
      <c r="G21" s="39"/>
    </row>
    <row r="23" spans="2:7" x14ac:dyDescent="0.25">
      <c r="B23" s="3" t="s">
        <v>14</v>
      </c>
    </row>
    <row r="24" spans="2:7" ht="30" customHeight="1" x14ac:dyDescent="0.25">
      <c r="B24" s="39" t="s">
        <v>15</v>
      </c>
      <c r="C24" s="39"/>
      <c r="D24" s="39"/>
      <c r="E24" s="39"/>
      <c r="F24" s="39"/>
      <c r="G24" s="39"/>
    </row>
    <row r="26" spans="2:7" ht="45" x14ac:dyDescent="0.25">
      <c r="B26" s="3" t="s">
        <v>16</v>
      </c>
    </row>
    <row r="27" spans="2:7" ht="30" customHeight="1" x14ac:dyDescent="0.25">
      <c r="B27" s="39" t="s">
        <v>17</v>
      </c>
      <c r="C27" s="39"/>
      <c r="D27" s="39"/>
      <c r="E27" s="39"/>
      <c r="F27" s="39"/>
      <c r="G27" s="39"/>
    </row>
    <row r="30" spans="2:7" x14ac:dyDescent="0.25">
      <c r="B30" s="4" t="s">
        <v>18</v>
      </c>
    </row>
    <row r="31" spans="2:7" x14ac:dyDescent="0.25">
      <c r="B31" s="40" t="s">
        <v>19</v>
      </c>
      <c r="C31" s="40"/>
      <c r="D31" s="40"/>
      <c r="E31" s="40"/>
      <c r="F31" s="40"/>
      <c r="G31" s="40"/>
    </row>
    <row r="32" spans="2:7" x14ac:dyDescent="0.25">
      <c r="B32" s="40" t="s">
        <v>20</v>
      </c>
      <c r="C32" s="40"/>
      <c r="D32" s="40"/>
      <c r="E32" s="40"/>
      <c r="F32" s="40"/>
      <c r="G32" s="40"/>
    </row>
    <row r="33" spans="2:7" x14ac:dyDescent="0.25">
      <c r="B33" s="40" t="s">
        <v>21</v>
      </c>
      <c r="C33" s="40"/>
      <c r="D33" s="40"/>
      <c r="E33" s="40"/>
      <c r="F33" s="40"/>
      <c r="G33" s="40"/>
    </row>
    <row r="34" spans="2:7" x14ac:dyDescent="0.25">
      <c r="B34" s="40" t="s">
        <v>22</v>
      </c>
      <c r="C34" s="40"/>
      <c r="D34" s="40"/>
      <c r="E34" s="40"/>
      <c r="F34" s="40"/>
      <c r="G34" s="40"/>
    </row>
  </sheetData>
  <mergeCells count="12">
    <mergeCell ref="B33:G33"/>
    <mergeCell ref="B34:G34"/>
    <mergeCell ref="B21:G21"/>
    <mergeCell ref="B24:G24"/>
    <mergeCell ref="B27:G27"/>
    <mergeCell ref="B31:G31"/>
    <mergeCell ref="B32:G32"/>
    <mergeCell ref="B6:G6"/>
    <mergeCell ref="B9:G9"/>
    <mergeCell ref="B12:G12"/>
    <mergeCell ref="B15:G15"/>
    <mergeCell ref="B18:G1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D25"/>
  <sheetViews>
    <sheetView zoomScaleNormal="100" workbookViewId="0">
      <pane ySplit="1" topLeftCell="A2" activePane="bottomLeft" state="frozen"/>
      <selection activeCell="D3" sqref="D3"/>
      <selection pane="bottomLeft" activeCell="C9" sqref="C9"/>
    </sheetView>
  </sheetViews>
  <sheetFormatPr baseColWidth="10" defaultColWidth="8.7109375" defaultRowHeight="15" x14ac:dyDescent="0.25"/>
  <cols>
    <col min="1" max="1" width="6" customWidth="1"/>
    <col min="2" max="3" width="24" customWidth="1"/>
    <col min="4" max="4" width="8.7109375" customWidth="1"/>
  </cols>
  <sheetData>
    <row r="1" spans="1:4" ht="16.5" customHeight="1" x14ac:dyDescent="0.25">
      <c r="A1" s="5" t="s">
        <v>23</v>
      </c>
      <c r="B1" s="5" t="s">
        <v>24</v>
      </c>
      <c r="C1" s="30" t="s">
        <v>99</v>
      </c>
      <c r="D1" s="30" t="s">
        <v>98</v>
      </c>
    </row>
    <row r="2" spans="1:4" x14ac:dyDescent="0.25">
      <c r="A2" s="6">
        <v>1</v>
      </c>
      <c r="B2" s="7" t="s">
        <v>100</v>
      </c>
      <c r="C2" s="38">
        <v>25</v>
      </c>
      <c r="D2" s="31">
        <v>20</v>
      </c>
    </row>
    <row r="3" spans="1:4" x14ac:dyDescent="0.25">
      <c r="A3" s="6">
        <v>2</v>
      </c>
      <c r="B3" s="7" t="s">
        <v>101</v>
      </c>
      <c r="C3" s="38"/>
      <c r="D3" s="31">
        <v>20</v>
      </c>
    </row>
    <row r="4" spans="1:4" x14ac:dyDescent="0.25">
      <c r="A4" s="6">
        <v>3</v>
      </c>
      <c r="B4" s="7" t="s">
        <v>25</v>
      </c>
      <c r="C4" s="38"/>
      <c r="D4" s="31">
        <v>20</v>
      </c>
    </row>
    <row r="5" spans="1:4" x14ac:dyDescent="0.25">
      <c r="A5" s="6">
        <v>4</v>
      </c>
      <c r="B5" s="7" t="s">
        <v>26</v>
      </c>
      <c r="C5" s="38"/>
      <c r="D5" s="31">
        <v>20</v>
      </c>
    </row>
    <row r="6" spans="1:4" x14ac:dyDescent="0.25">
      <c r="A6" s="6">
        <v>5</v>
      </c>
      <c r="B6" s="7" t="s">
        <v>27</v>
      </c>
      <c r="C6" s="38"/>
      <c r="D6" s="31">
        <v>20</v>
      </c>
    </row>
    <row r="7" spans="1:4" x14ac:dyDescent="0.25">
      <c r="A7" s="6">
        <v>6</v>
      </c>
      <c r="B7" s="7" t="s">
        <v>28</v>
      </c>
      <c r="C7" s="38"/>
      <c r="D7" s="31">
        <v>20</v>
      </c>
    </row>
    <row r="8" spans="1:4" x14ac:dyDescent="0.25">
      <c r="A8" s="6">
        <v>7</v>
      </c>
      <c r="B8" s="7" t="s">
        <v>29</v>
      </c>
      <c r="C8" s="38"/>
      <c r="D8" s="31">
        <v>20</v>
      </c>
    </row>
    <row r="9" spans="1:4" x14ac:dyDescent="0.25">
      <c r="A9" s="6">
        <v>8</v>
      </c>
      <c r="B9" s="7" t="s">
        <v>30</v>
      </c>
      <c r="C9" s="38"/>
      <c r="D9" s="31">
        <v>20</v>
      </c>
    </row>
    <row r="10" spans="1:4" x14ac:dyDescent="0.25">
      <c r="A10" s="6">
        <v>9</v>
      </c>
      <c r="B10" s="7" t="s">
        <v>31</v>
      </c>
      <c r="C10" s="38"/>
      <c r="D10" s="31">
        <v>20</v>
      </c>
    </row>
    <row r="11" spans="1:4" x14ac:dyDescent="0.25">
      <c r="A11" s="6">
        <v>10</v>
      </c>
      <c r="B11" s="7" t="s">
        <v>32</v>
      </c>
      <c r="C11" s="38"/>
      <c r="D11" s="31">
        <v>20</v>
      </c>
    </row>
    <row r="12" spans="1:4" x14ac:dyDescent="0.25">
      <c r="A12" s="6">
        <v>11</v>
      </c>
      <c r="B12" s="7" t="s">
        <v>33</v>
      </c>
      <c r="C12" s="38"/>
      <c r="D12" s="31">
        <v>20</v>
      </c>
    </row>
    <row r="13" spans="1:4" x14ac:dyDescent="0.25">
      <c r="A13" s="6">
        <v>12</v>
      </c>
      <c r="B13" s="7" t="s">
        <v>34</v>
      </c>
      <c r="C13" s="38"/>
      <c r="D13" s="31">
        <v>20</v>
      </c>
    </row>
    <row r="14" spans="1:4" x14ac:dyDescent="0.25">
      <c r="A14" s="6">
        <v>13</v>
      </c>
      <c r="B14" s="7" t="s">
        <v>35</v>
      </c>
      <c r="C14" s="38"/>
      <c r="D14" s="31">
        <v>20</v>
      </c>
    </row>
    <row r="15" spans="1:4" x14ac:dyDescent="0.25">
      <c r="A15" s="6">
        <v>14</v>
      </c>
      <c r="B15" s="7" t="s">
        <v>36</v>
      </c>
      <c r="C15" s="38"/>
      <c r="D15" s="31">
        <v>20</v>
      </c>
    </row>
    <row r="16" spans="1:4" x14ac:dyDescent="0.25">
      <c r="A16" s="6">
        <v>15</v>
      </c>
      <c r="B16" s="7" t="s">
        <v>37</v>
      </c>
      <c r="C16" s="38"/>
      <c r="D16" s="31">
        <v>20</v>
      </c>
    </row>
    <row r="17" spans="1:4" x14ac:dyDescent="0.25">
      <c r="A17" s="6">
        <v>16</v>
      </c>
      <c r="B17" s="7" t="s">
        <v>38</v>
      </c>
      <c r="C17" s="38"/>
      <c r="D17" s="31">
        <v>20</v>
      </c>
    </row>
    <row r="18" spans="1:4" x14ac:dyDescent="0.25">
      <c r="A18" s="6">
        <v>17</v>
      </c>
      <c r="B18" s="7" t="s">
        <v>39</v>
      </c>
      <c r="C18" s="38"/>
      <c r="D18" s="31">
        <v>20</v>
      </c>
    </row>
    <row r="19" spans="1:4" x14ac:dyDescent="0.25">
      <c r="A19" s="6">
        <v>18</v>
      </c>
      <c r="B19" s="7" t="s">
        <v>40</v>
      </c>
      <c r="C19" s="38"/>
      <c r="D19" s="31">
        <v>20</v>
      </c>
    </row>
    <row r="20" spans="1:4" x14ac:dyDescent="0.25">
      <c r="A20" s="6">
        <v>19</v>
      </c>
      <c r="B20" s="7" t="s">
        <v>41</v>
      </c>
      <c r="C20" s="38"/>
      <c r="D20" s="31">
        <v>20</v>
      </c>
    </row>
    <row r="21" spans="1:4" x14ac:dyDescent="0.25">
      <c r="A21" s="6">
        <v>20</v>
      </c>
      <c r="B21" s="7" t="s">
        <v>42</v>
      </c>
      <c r="C21" s="38"/>
      <c r="D21" s="31">
        <v>20</v>
      </c>
    </row>
    <row r="22" spans="1:4" x14ac:dyDescent="0.25">
      <c r="A22" s="6">
        <v>21</v>
      </c>
      <c r="B22" s="7" t="s">
        <v>43</v>
      </c>
      <c r="C22" s="38"/>
      <c r="D22" s="31">
        <v>20</v>
      </c>
    </row>
    <row r="23" spans="1:4" x14ac:dyDescent="0.25">
      <c r="A23" s="6">
        <v>22</v>
      </c>
      <c r="B23" s="7" t="s">
        <v>44</v>
      </c>
      <c r="C23" s="38"/>
      <c r="D23" s="31">
        <v>20</v>
      </c>
    </row>
    <row r="24" spans="1:4" x14ac:dyDescent="0.25">
      <c r="A24" s="6">
        <v>23</v>
      </c>
      <c r="B24" s="7" t="s">
        <v>45</v>
      </c>
      <c r="C24" s="38"/>
      <c r="D24" s="31">
        <v>20</v>
      </c>
    </row>
    <row r="25" spans="1:4" x14ac:dyDescent="0.25">
      <c r="A25" s="6">
        <v>24</v>
      </c>
      <c r="B25" s="7" t="s">
        <v>46</v>
      </c>
      <c r="C25" s="38"/>
      <c r="D25" s="31">
        <v>20</v>
      </c>
    </row>
  </sheetData>
  <phoneticPr fontId="9" type="noConversion"/>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1"/>
  <sheetViews>
    <sheetView tabSelected="1" zoomScaleNormal="100" workbookViewId="0">
      <pane ySplit="1" topLeftCell="A2" activePane="bottomLeft" state="frozen"/>
      <selection pane="bottomLeft" activeCell="B6" sqref="B6"/>
    </sheetView>
  </sheetViews>
  <sheetFormatPr baseColWidth="10" defaultColWidth="8.7109375" defaultRowHeight="15" x14ac:dyDescent="0.25"/>
  <cols>
    <col min="1" max="1" width="42" customWidth="1"/>
    <col min="2" max="2" width="10" customWidth="1"/>
  </cols>
  <sheetData>
    <row r="1" spans="1:2" x14ac:dyDescent="0.25">
      <c r="A1" s="5" t="s">
        <v>47</v>
      </c>
      <c r="B1" s="5" t="s">
        <v>48</v>
      </c>
    </row>
    <row r="2" spans="1:2" x14ac:dyDescent="0.25">
      <c r="A2" s="8" t="s">
        <v>87</v>
      </c>
      <c r="B2" s="9">
        <v>6</v>
      </c>
    </row>
    <row r="3" spans="1:2" x14ac:dyDescent="0.25">
      <c r="A3" s="8" t="s">
        <v>104</v>
      </c>
      <c r="B3" s="9">
        <v>6</v>
      </c>
    </row>
    <row r="4" spans="1:2" x14ac:dyDescent="0.25">
      <c r="A4" s="8" t="s">
        <v>108</v>
      </c>
      <c r="B4" s="9">
        <v>5</v>
      </c>
    </row>
    <row r="5" spans="1:2" x14ac:dyDescent="0.25">
      <c r="A5" s="8" t="s">
        <v>105</v>
      </c>
      <c r="B5" s="9">
        <v>4</v>
      </c>
    </row>
    <row r="6" spans="1:2" x14ac:dyDescent="0.25">
      <c r="A6" s="8" t="s">
        <v>109</v>
      </c>
      <c r="B6" s="9">
        <v>3</v>
      </c>
    </row>
    <row r="7" spans="1:2" x14ac:dyDescent="0.25">
      <c r="A7" s="8" t="s">
        <v>88</v>
      </c>
      <c r="B7" s="9">
        <v>2</v>
      </c>
    </row>
    <row r="8" spans="1:2" x14ac:dyDescent="0.25">
      <c r="A8" s="8" t="s">
        <v>97</v>
      </c>
      <c r="B8" s="9">
        <v>2</v>
      </c>
    </row>
    <row r="9" spans="1:2" x14ac:dyDescent="0.25">
      <c r="A9" s="8" t="s">
        <v>50</v>
      </c>
      <c r="B9" s="9">
        <v>2</v>
      </c>
    </row>
    <row r="10" spans="1:2" x14ac:dyDescent="0.25">
      <c r="A10" s="8" t="s">
        <v>102</v>
      </c>
      <c r="B10" s="9">
        <v>2</v>
      </c>
    </row>
    <row r="11" spans="1:2" x14ac:dyDescent="0.25">
      <c r="A11" s="8" t="s">
        <v>110</v>
      </c>
      <c r="B11" s="9">
        <v>2</v>
      </c>
    </row>
    <row r="12" spans="1:2" x14ac:dyDescent="0.25">
      <c r="A12" s="8" t="s">
        <v>106</v>
      </c>
      <c r="B12" s="9">
        <v>2</v>
      </c>
    </row>
    <row r="13" spans="1:2" x14ac:dyDescent="0.25">
      <c r="A13" s="8" t="s">
        <v>49</v>
      </c>
      <c r="B13" s="9">
        <v>1</v>
      </c>
    </row>
    <row r="14" spans="1:2" x14ac:dyDescent="0.25">
      <c r="A14" s="8" t="s">
        <v>111</v>
      </c>
      <c r="B14" s="9">
        <v>1</v>
      </c>
    </row>
    <row r="15" spans="1:2" x14ac:dyDescent="0.25">
      <c r="A15" s="8" t="s">
        <v>107</v>
      </c>
      <c r="B15" s="9">
        <v>1</v>
      </c>
    </row>
    <row r="16" spans="1:2" x14ac:dyDescent="0.25">
      <c r="A16" s="18" t="s">
        <v>89</v>
      </c>
      <c r="B16" s="19">
        <v>-1</v>
      </c>
    </row>
    <row r="17" spans="1:2" x14ac:dyDescent="0.25">
      <c r="A17" s="18" t="s">
        <v>51</v>
      </c>
      <c r="B17" s="19">
        <v>-2</v>
      </c>
    </row>
    <row r="18" spans="1:2" x14ac:dyDescent="0.25">
      <c r="A18" s="18" t="s">
        <v>90</v>
      </c>
      <c r="B18" s="19">
        <v>-2</v>
      </c>
    </row>
    <row r="19" spans="1:2" x14ac:dyDescent="0.25">
      <c r="A19" s="18" t="s">
        <v>85</v>
      </c>
      <c r="B19" s="19">
        <v>-3</v>
      </c>
    </row>
    <row r="20" spans="1:2" x14ac:dyDescent="0.25">
      <c r="A20" s="18" t="s">
        <v>86</v>
      </c>
      <c r="B20" s="19">
        <v>-3</v>
      </c>
    </row>
    <row r="21" spans="1:2" x14ac:dyDescent="0.25">
      <c r="A21" s="18" t="s">
        <v>103</v>
      </c>
      <c r="B21" s="19">
        <v>-10</v>
      </c>
    </row>
  </sheetData>
  <sortState xmlns:xlrd2="http://schemas.microsoft.com/office/spreadsheetml/2017/richdata2" ref="A2:B21">
    <sortCondition descending="1" ref="B2:B21"/>
  </sortState>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6"/>
  <sheetViews>
    <sheetView zoomScaleNormal="100" workbookViewId="0">
      <pane ySplit="4" topLeftCell="A5" activePane="bottomLeft" state="frozen"/>
      <selection pane="bottomLeft" activeCell="B16" sqref="B16"/>
    </sheetView>
  </sheetViews>
  <sheetFormatPr baseColWidth="10" defaultColWidth="8.7109375" defaultRowHeight="15" x14ac:dyDescent="0.25"/>
  <cols>
    <col min="1" max="1" width="10" customWidth="1"/>
    <col min="2" max="3" width="20" customWidth="1"/>
    <col min="4" max="4" width="22" customWidth="1"/>
    <col min="5" max="5" width="24" customWidth="1"/>
  </cols>
  <sheetData>
    <row r="1" spans="1:6" x14ac:dyDescent="0.25">
      <c r="A1" s="10" t="s">
        <v>52</v>
      </c>
      <c r="B1" s="11">
        <v>46286</v>
      </c>
    </row>
    <row r="2" spans="1:6" x14ac:dyDescent="0.25">
      <c r="A2" s="10" t="s">
        <v>53</v>
      </c>
      <c r="B2" s="11">
        <v>46451</v>
      </c>
    </row>
    <row r="4" spans="1:6" ht="30" x14ac:dyDescent="0.25">
      <c r="A4" s="5" t="s">
        <v>54</v>
      </c>
      <c r="B4" s="5" t="s">
        <v>55</v>
      </c>
      <c r="C4" s="5" t="s">
        <v>56</v>
      </c>
      <c r="D4" s="5" t="s">
        <v>57</v>
      </c>
      <c r="E4" s="5" t="s">
        <v>58</v>
      </c>
    </row>
    <row r="5" spans="1:6" x14ac:dyDescent="0.25">
      <c r="A5" s="6">
        <v>1</v>
      </c>
      <c r="B5" s="12">
        <f>$B$1</f>
        <v>46286</v>
      </c>
      <c r="C5" s="12">
        <f t="shared" ref="C5:C16" si="0">MIN(B5+13,$B$2)</f>
        <v>46299</v>
      </c>
      <c r="D5" s="12">
        <f t="shared" ref="D5:D16" si="1">B5</f>
        <v>46286</v>
      </c>
      <c r="E5" s="12">
        <f t="shared" ref="E5:E16" si="2">B5+1</f>
        <v>46287</v>
      </c>
    </row>
    <row r="6" spans="1:6" x14ac:dyDescent="0.25">
      <c r="A6" s="6">
        <v>2</v>
      </c>
      <c r="B6" s="12">
        <f t="shared" ref="B6:B16" si="3">C5+1</f>
        <v>46300</v>
      </c>
      <c r="C6" s="12">
        <f t="shared" si="0"/>
        <v>46313</v>
      </c>
      <c r="D6" s="12">
        <f t="shared" si="1"/>
        <v>46300</v>
      </c>
      <c r="E6" s="12">
        <f t="shared" si="2"/>
        <v>46301</v>
      </c>
    </row>
    <row r="7" spans="1:6" x14ac:dyDescent="0.25">
      <c r="A7" s="6">
        <v>3</v>
      </c>
      <c r="B7" s="12">
        <f t="shared" si="3"/>
        <v>46314</v>
      </c>
      <c r="C7" s="12">
        <f t="shared" si="0"/>
        <v>46327</v>
      </c>
      <c r="D7" s="12">
        <f t="shared" si="1"/>
        <v>46314</v>
      </c>
      <c r="E7" s="12">
        <f t="shared" si="2"/>
        <v>46315</v>
      </c>
    </row>
    <row r="8" spans="1:6" x14ac:dyDescent="0.25">
      <c r="A8" s="6">
        <v>4</v>
      </c>
      <c r="B8" s="12">
        <f t="shared" si="3"/>
        <v>46328</v>
      </c>
      <c r="C8" s="12">
        <f t="shared" si="0"/>
        <v>46341</v>
      </c>
      <c r="D8" s="12">
        <f t="shared" si="1"/>
        <v>46328</v>
      </c>
      <c r="E8" s="12">
        <f t="shared" si="2"/>
        <v>46329</v>
      </c>
    </row>
    <row r="9" spans="1:6" x14ac:dyDescent="0.25">
      <c r="A9" s="6">
        <v>5</v>
      </c>
      <c r="B9" s="12">
        <f t="shared" si="3"/>
        <v>46342</v>
      </c>
      <c r="C9" s="12">
        <f t="shared" si="0"/>
        <v>46355</v>
      </c>
      <c r="D9" s="12">
        <f t="shared" si="1"/>
        <v>46342</v>
      </c>
      <c r="E9" s="12">
        <f t="shared" si="2"/>
        <v>46343</v>
      </c>
    </row>
    <row r="10" spans="1:6" x14ac:dyDescent="0.25">
      <c r="A10" s="6">
        <v>6</v>
      </c>
      <c r="B10" s="12">
        <f t="shared" si="3"/>
        <v>46356</v>
      </c>
      <c r="C10" s="12">
        <f t="shared" si="0"/>
        <v>46369</v>
      </c>
      <c r="D10" s="12">
        <f t="shared" si="1"/>
        <v>46356</v>
      </c>
      <c r="E10" s="12">
        <f t="shared" si="2"/>
        <v>46357</v>
      </c>
    </row>
    <row r="11" spans="1:6" x14ac:dyDescent="0.25">
      <c r="A11" s="6">
        <v>7</v>
      </c>
      <c r="B11" s="12">
        <f t="shared" si="3"/>
        <v>46370</v>
      </c>
      <c r="C11" s="12">
        <f t="shared" si="0"/>
        <v>46383</v>
      </c>
      <c r="D11" s="12">
        <f t="shared" si="1"/>
        <v>46370</v>
      </c>
      <c r="E11" s="12">
        <f t="shared" si="2"/>
        <v>46371</v>
      </c>
    </row>
    <row r="12" spans="1:6" x14ac:dyDescent="0.25">
      <c r="A12" s="6">
        <v>8</v>
      </c>
      <c r="B12" s="12">
        <f t="shared" si="3"/>
        <v>46384</v>
      </c>
      <c r="C12" s="12">
        <f t="shared" si="0"/>
        <v>46397</v>
      </c>
      <c r="D12" s="12">
        <f t="shared" si="1"/>
        <v>46384</v>
      </c>
      <c r="E12" s="12">
        <f t="shared" si="2"/>
        <v>46385</v>
      </c>
      <c r="F12" s="16" t="s">
        <v>83</v>
      </c>
    </row>
    <row r="13" spans="1:6" x14ac:dyDescent="0.25">
      <c r="A13" s="6">
        <v>9</v>
      </c>
      <c r="B13" s="12">
        <f t="shared" si="3"/>
        <v>46398</v>
      </c>
      <c r="C13" s="12">
        <f t="shared" si="0"/>
        <v>46411</v>
      </c>
      <c r="D13" s="12">
        <f t="shared" si="1"/>
        <v>46398</v>
      </c>
      <c r="E13" s="12">
        <f t="shared" si="2"/>
        <v>46399</v>
      </c>
    </row>
    <row r="14" spans="1:6" x14ac:dyDescent="0.25">
      <c r="A14" s="6">
        <v>10</v>
      </c>
      <c r="B14" s="12">
        <f t="shared" si="3"/>
        <v>46412</v>
      </c>
      <c r="C14" s="12">
        <f t="shared" si="0"/>
        <v>46425</v>
      </c>
      <c r="D14" s="12">
        <f t="shared" si="1"/>
        <v>46412</v>
      </c>
      <c r="E14" s="12">
        <f t="shared" si="2"/>
        <v>46413</v>
      </c>
    </row>
    <row r="15" spans="1:6" x14ac:dyDescent="0.25">
      <c r="A15" s="6">
        <v>11</v>
      </c>
      <c r="B15" s="12">
        <f t="shared" si="3"/>
        <v>46426</v>
      </c>
      <c r="C15" s="12">
        <f t="shared" si="0"/>
        <v>46439</v>
      </c>
      <c r="D15" s="12">
        <f t="shared" si="1"/>
        <v>46426</v>
      </c>
      <c r="E15" s="12">
        <f t="shared" si="2"/>
        <v>46427</v>
      </c>
    </row>
    <row r="16" spans="1:6" x14ac:dyDescent="0.25">
      <c r="A16" s="6">
        <v>12</v>
      </c>
      <c r="B16" s="12">
        <f t="shared" si="3"/>
        <v>46440</v>
      </c>
      <c r="C16" s="12">
        <f t="shared" si="0"/>
        <v>46451</v>
      </c>
      <c r="D16" s="12">
        <f t="shared" si="1"/>
        <v>46440</v>
      </c>
      <c r="E16" s="12">
        <f t="shared" si="2"/>
        <v>46441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F401"/>
  <sheetViews>
    <sheetView zoomScaleNormal="100" workbookViewId="0">
      <pane ySplit="1" topLeftCell="A2" activePane="bottomLeft" state="frozen"/>
      <selection activeCell="D3" sqref="D3"/>
      <selection pane="bottomLeft" activeCell="C3" sqref="C3"/>
    </sheetView>
  </sheetViews>
  <sheetFormatPr baseColWidth="10" defaultColWidth="8.7109375" defaultRowHeight="15" x14ac:dyDescent="0.25"/>
  <cols>
    <col min="1" max="1" width="12" customWidth="1"/>
    <col min="2" max="2" width="10" customWidth="1"/>
    <col min="3" max="3" width="20" customWidth="1"/>
    <col min="4" max="4" width="42" customWidth="1"/>
    <col min="5" max="5" width="10" customWidth="1"/>
    <col min="6" max="6" width="30" customWidth="1"/>
  </cols>
  <sheetData>
    <row r="1" spans="1:6" x14ac:dyDescent="0.25">
      <c r="A1" s="5" t="s">
        <v>59</v>
      </c>
      <c r="B1" s="5" t="s">
        <v>54</v>
      </c>
      <c r="C1" s="5" t="s">
        <v>60</v>
      </c>
      <c r="D1" s="5" t="s">
        <v>47</v>
      </c>
      <c r="E1" s="5" t="s">
        <v>48</v>
      </c>
      <c r="F1" s="5" t="s">
        <v>61</v>
      </c>
    </row>
    <row r="2" spans="1:6" x14ac:dyDescent="0.25">
      <c r="A2" s="17">
        <v>46287</v>
      </c>
      <c r="B2" s="13">
        <v>1</v>
      </c>
      <c r="C2" s="13" t="s">
        <v>100</v>
      </c>
      <c r="D2" s="13" t="s">
        <v>87</v>
      </c>
      <c r="E2" s="6">
        <f>IFERROR(INDEX(Config_Puntos!$B$2:$B$18,MATCH(D2,Config_Puntos!$A$2:$A$18,0)),"")</f>
        <v>6</v>
      </c>
      <c r="F2" s="13"/>
    </row>
    <row r="3" spans="1:6" x14ac:dyDescent="0.25">
      <c r="A3" s="17">
        <v>46287</v>
      </c>
      <c r="B3" s="13">
        <v>1</v>
      </c>
      <c r="C3" s="13" t="s">
        <v>100</v>
      </c>
      <c r="D3" s="13" t="s">
        <v>88</v>
      </c>
      <c r="E3" s="6">
        <f>IFERROR(INDEX(Config_Puntos!$B$2:$B$18,MATCH(D3,Config_Puntos!$A$2:$A$18,0)),"")</f>
        <v>2</v>
      </c>
      <c r="F3" s="13"/>
    </row>
    <row r="4" spans="1:6" x14ac:dyDescent="0.25">
      <c r="A4" s="13"/>
      <c r="B4" s="13"/>
      <c r="C4" s="13"/>
      <c r="D4" s="13"/>
      <c r="E4" s="6" t="str">
        <f>IFERROR(INDEX(Config_Puntos!$B$2:$B$18,MATCH(D4,Config_Puntos!$A$2:$A$18,0)),"")</f>
        <v/>
      </c>
      <c r="F4" s="13"/>
    </row>
    <row r="5" spans="1:6" x14ac:dyDescent="0.25">
      <c r="A5" s="13"/>
      <c r="B5" s="13"/>
      <c r="C5" s="13"/>
      <c r="D5" s="13"/>
      <c r="E5" s="6" t="str">
        <f>IFERROR(INDEX(Config_Puntos!$B$2:$B$18,MATCH(D5,Config_Puntos!$A$2:$A$18,0)),"")</f>
        <v/>
      </c>
      <c r="F5" s="13"/>
    </row>
    <row r="6" spans="1:6" x14ac:dyDescent="0.25">
      <c r="A6" s="13"/>
      <c r="B6" s="13"/>
      <c r="C6" s="13"/>
      <c r="D6" s="13"/>
      <c r="E6" s="6" t="str">
        <f>IFERROR(INDEX(Config_Puntos!$B$2:$B$18,MATCH(D6,Config_Puntos!$A$2:$A$18,0)),"")</f>
        <v/>
      </c>
      <c r="F6" s="13"/>
    </row>
    <row r="7" spans="1:6" x14ac:dyDescent="0.25">
      <c r="A7" s="13"/>
      <c r="B7" s="13"/>
      <c r="C7" s="13"/>
      <c r="D7" s="13"/>
      <c r="E7" s="6" t="str">
        <f>IFERROR(INDEX(Config_Puntos!$B$2:$B$18,MATCH(D7,Config_Puntos!$A$2:$A$18,0)),"")</f>
        <v/>
      </c>
      <c r="F7" s="13"/>
    </row>
    <row r="8" spans="1:6" x14ac:dyDescent="0.25">
      <c r="A8" s="13"/>
      <c r="B8" s="13"/>
      <c r="C8" s="13"/>
      <c r="D8" s="13"/>
      <c r="E8" s="6" t="str">
        <f>IFERROR(INDEX(Config_Puntos!$B$2:$B$18,MATCH(D8,Config_Puntos!$A$2:$A$18,0)),"")</f>
        <v/>
      </c>
      <c r="F8" s="13"/>
    </row>
    <row r="9" spans="1:6" x14ac:dyDescent="0.25">
      <c r="A9" s="13"/>
      <c r="B9" s="13"/>
      <c r="C9" s="13"/>
      <c r="D9" s="13"/>
      <c r="E9" s="6" t="str">
        <f>IFERROR(INDEX(Config_Puntos!$B$2:$B$18,MATCH(D9,Config_Puntos!$A$2:$A$18,0)),"")</f>
        <v/>
      </c>
      <c r="F9" s="13"/>
    </row>
    <row r="10" spans="1:6" x14ac:dyDescent="0.25">
      <c r="A10" s="13"/>
      <c r="B10" s="13"/>
      <c r="C10" s="13"/>
      <c r="D10" s="13"/>
      <c r="E10" s="6" t="str">
        <f>IFERROR(INDEX(Config_Puntos!$B$2:$B$18,MATCH(D10,Config_Puntos!$A$2:$A$18,0)),"")</f>
        <v/>
      </c>
      <c r="F10" s="13"/>
    </row>
    <row r="11" spans="1:6" x14ac:dyDescent="0.25">
      <c r="A11" s="13"/>
      <c r="B11" s="13"/>
      <c r="C11" s="13"/>
      <c r="D11" s="13"/>
      <c r="E11" s="6" t="str">
        <f>IFERROR(INDEX(Config_Puntos!$B$2:$B$18,MATCH(D11,Config_Puntos!$A$2:$A$18,0)),"")</f>
        <v/>
      </c>
      <c r="F11" s="13"/>
    </row>
    <row r="12" spans="1:6" x14ac:dyDescent="0.25">
      <c r="A12" s="13"/>
      <c r="B12" s="13"/>
      <c r="C12" s="13"/>
      <c r="D12" s="13"/>
      <c r="E12" s="6" t="str">
        <f>IFERROR(INDEX(Config_Puntos!$B$2:$B$18,MATCH(D12,Config_Puntos!$A$2:$A$18,0)),"")</f>
        <v/>
      </c>
      <c r="F12" s="13"/>
    </row>
    <row r="13" spans="1:6" x14ac:dyDescent="0.25">
      <c r="A13" s="13"/>
      <c r="B13" s="13"/>
      <c r="C13" s="13"/>
      <c r="D13" s="13"/>
      <c r="E13" s="6" t="str">
        <f>IFERROR(INDEX(Config_Puntos!$B$2:$B$18,MATCH(D13,Config_Puntos!$A$2:$A$18,0)),"")</f>
        <v/>
      </c>
      <c r="F13" s="13"/>
    </row>
    <row r="14" spans="1:6" x14ac:dyDescent="0.25">
      <c r="A14" s="13"/>
      <c r="B14" s="13"/>
      <c r="C14" s="13"/>
      <c r="D14" s="13"/>
      <c r="E14" s="6" t="str">
        <f>IFERROR(INDEX(Config_Puntos!$B$2:$B$18,MATCH(D14,Config_Puntos!$A$2:$A$18,0)),"")</f>
        <v/>
      </c>
      <c r="F14" s="13"/>
    </row>
    <row r="15" spans="1:6" x14ac:dyDescent="0.25">
      <c r="A15" s="13"/>
      <c r="B15" s="13"/>
      <c r="C15" s="13"/>
      <c r="D15" s="13"/>
      <c r="E15" s="6" t="str">
        <f>IFERROR(INDEX(Config_Puntos!$B$2:$B$18,MATCH(D15,Config_Puntos!$A$2:$A$18,0)),"")</f>
        <v/>
      </c>
      <c r="F15" s="13"/>
    </row>
    <row r="16" spans="1:6" x14ac:dyDescent="0.25">
      <c r="A16" s="13"/>
      <c r="B16" s="13"/>
      <c r="C16" s="13"/>
      <c r="D16" s="13"/>
      <c r="E16" s="6" t="str">
        <f>IFERROR(INDEX(Config_Puntos!$B$2:$B$18,MATCH(D16,Config_Puntos!$A$2:$A$18,0)),"")</f>
        <v/>
      </c>
      <c r="F16" s="13"/>
    </row>
    <row r="17" spans="1:6" x14ac:dyDescent="0.25">
      <c r="A17" s="13"/>
      <c r="B17" s="13"/>
      <c r="C17" s="13"/>
      <c r="D17" s="13"/>
      <c r="E17" s="6" t="str">
        <f>IFERROR(INDEX(Config_Puntos!$B$2:$B$18,MATCH(D17,Config_Puntos!$A$2:$A$18,0)),"")</f>
        <v/>
      </c>
      <c r="F17" s="13"/>
    </row>
    <row r="18" spans="1:6" x14ac:dyDescent="0.25">
      <c r="A18" s="13"/>
      <c r="B18" s="13"/>
      <c r="C18" s="13"/>
      <c r="D18" s="13"/>
      <c r="E18" s="6" t="str">
        <f>IFERROR(INDEX(Config_Puntos!$B$2:$B$18,MATCH(D18,Config_Puntos!$A$2:$A$18,0)),"")</f>
        <v/>
      </c>
      <c r="F18" s="13"/>
    </row>
    <row r="19" spans="1:6" x14ac:dyDescent="0.25">
      <c r="A19" s="13"/>
      <c r="B19" s="13"/>
      <c r="C19" s="13"/>
      <c r="D19" s="13"/>
      <c r="E19" s="6" t="str">
        <f>IFERROR(INDEX(Config_Puntos!$B$2:$B$18,MATCH(D19,Config_Puntos!$A$2:$A$18,0)),"")</f>
        <v/>
      </c>
      <c r="F19" s="13"/>
    </row>
    <row r="20" spans="1:6" x14ac:dyDescent="0.25">
      <c r="A20" s="13"/>
      <c r="B20" s="13"/>
      <c r="C20" s="13"/>
      <c r="D20" s="13"/>
      <c r="E20" s="6" t="str">
        <f>IFERROR(INDEX(Config_Puntos!$B$2:$B$18,MATCH(D20,Config_Puntos!$A$2:$A$18,0)),"")</f>
        <v/>
      </c>
      <c r="F20" s="13"/>
    </row>
    <row r="21" spans="1:6" x14ac:dyDescent="0.25">
      <c r="A21" s="13"/>
      <c r="B21" s="13"/>
      <c r="C21" s="13"/>
      <c r="D21" s="13"/>
      <c r="E21" s="6" t="str">
        <f>IFERROR(INDEX(Config_Puntos!$B$2:$B$18,MATCH(D21,Config_Puntos!$A$2:$A$18,0)),"")</f>
        <v/>
      </c>
      <c r="F21" s="13"/>
    </row>
    <row r="22" spans="1:6" x14ac:dyDescent="0.25">
      <c r="A22" s="13"/>
      <c r="B22" s="13"/>
      <c r="C22" s="13"/>
      <c r="D22" s="13"/>
      <c r="E22" s="6" t="str">
        <f>IFERROR(INDEX(Config_Puntos!$B$2:$B$18,MATCH(D22,Config_Puntos!$A$2:$A$18,0)),"")</f>
        <v/>
      </c>
      <c r="F22" s="13"/>
    </row>
    <row r="23" spans="1:6" x14ac:dyDescent="0.25">
      <c r="A23" s="13"/>
      <c r="B23" s="13"/>
      <c r="C23" s="13"/>
      <c r="D23" s="13"/>
      <c r="E23" s="6" t="str">
        <f>IFERROR(INDEX(Config_Puntos!$B$2:$B$18,MATCH(D23,Config_Puntos!$A$2:$A$18,0)),"")</f>
        <v/>
      </c>
      <c r="F23" s="13"/>
    </row>
    <row r="24" spans="1:6" x14ac:dyDescent="0.25">
      <c r="A24" s="13"/>
      <c r="B24" s="13"/>
      <c r="C24" s="13"/>
      <c r="D24" s="13"/>
      <c r="E24" s="6" t="str">
        <f>IFERROR(INDEX(Config_Puntos!$B$2:$B$18,MATCH(D24,Config_Puntos!$A$2:$A$18,0)),"")</f>
        <v/>
      </c>
      <c r="F24" s="13"/>
    </row>
    <row r="25" spans="1:6" x14ac:dyDescent="0.25">
      <c r="A25" s="13"/>
      <c r="B25" s="13"/>
      <c r="C25" s="13"/>
      <c r="D25" s="13"/>
      <c r="E25" s="6" t="str">
        <f>IFERROR(INDEX(Config_Puntos!$B$2:$B$18,MATCH(D25,Config_Puntos!$A$2:$A$18,0)),"")</f>
        <v/>
      </c>
      <c r="F25" s="13"/>
    </row>
    <row r="26" spans="1:6" x14ac:dyDescent="0.25">
      <c r="A26" s="13"/>
      <c r="B26" s="13"/>
      <c r="C26" s="13"/>
      <c r="D26" s="13"/>
      <c r="E26" s="6" t="str">
        <f>IFERROR(INDEX(Config_Puntos!$B$2:$B$18,MATCH(D26,Config_Puntos!$A$2:$A$18,0)),"")</f>
        <v/>
      </c>
      <c r="F26" s="13"/>
    </row>
    <row r="27" spans="1:6" x14ac:dyDescent="0.25">
      <c r="A27" s="13"/>
      <c r="B27" s="13"/>
      <c r="C27" s="13"/>
      <c r="D27" s="13"/>
      <c r="E27" s="6" t="str">
        <f>IFERROR(INDEX(Config_Puntos!$B$2:$B$18,MATCH(D27,Config_Puntos!$A$2:$A$18,0)),"")</f>
        <v/>
      </c>
      <c r="F27" s="13"/>
    </row>
    <row r="28" spans="1:6" x14ac:dyDescent="0.25">
      <c r="A28" s="13"/>
      <c r="B28" s="13"/>
      <c r="C28" s="13"/>
      <c r="D28" s="13"/>
      <c r="E28" s="6" t="str">
        <f>IFERROR(INDEX(Config_Puntos!$B$2:$B$18,MATCH(D28,Config_Puntos!$A$2:$A$18,0)),"")</f>
        <v/>
      </c>
      <c r="F28" s="13"/>
    </row>
    <row r="29" spans="1:6" x14ac:dyDescent="0.25">
      <c r="A29" s="13"/>
      <c r="B29" s="13"/>
      <c r="C29" s="13"/>
      <c r="D29" s="13"/>
      <c r="E29" s="6" t="str">
        <f>IFERROR(INDEX(Config_Puntos!$B$2:$B$18,MATCH(D29,Config_Puntos!$A$2:$A$18,0)),"")</f>
        <v/>
      </c>
      <c r="F29" s="13"/>
    </row>
    <row r="30" spans="1:6" x14ac:dyDescent="0.25">
      <c r="A30" s="13"/>
      <c r="B30" s="13"/>
      <c r="C30" s="13"/>
      <c r="D30" s="13"/>
      <c r="E30" s="6" t="str">
        <f>IFERROR(INDEX(Config_Puntos!$B$2:$B$18,MATCH(D30,Config_Puntos!$A$2:$A$18,0)),"")</f>
        <v/>
      </c>
      <c r="F30" s="13"/>
    </row>
    <row r="31" spans="1:6" x14ac:dyDescent="0.25">
      <c r="A31" s="13"/>
      <c r="B31" s="13"/>
      <c r="C31" s="13"/>
      <c r="D31" s="13"/>
      <c r="E31" s="6" t="str">
        <f>IFERROR(INDEX(Config_Puntos!$B$2:$B$18,MATCH(D31,Config_Puntos!$A$2:$A$18,0)),"")</f>
        <v/>
      </c>
      <c r="F31" s="13"/>
    </row>
    <row r="32" spans="1:6" x14ac:dyDescent="0.25">
      <c r="A32" s="13"/>
      <c r="B32" s="13"/>
      <c r="C32" s="13"/>
      <c r="D32" s="13"/>
      <c r="E32" s="6" t="str">
        <f>IFERROR(INDEX(Config_Puntos!$B$2:$B$18,MATCH(D32,Config_Puntos!$A$2:$A$18,0)),"")</f>
        <v/>
      </c>
      <c r="F32" s="13"/>
    </row>
    <row r="33" spans="1:6" x14ac:dyDescent="0.25">
      <c r="A33" s="13"/>
      <c r="B33" s="13"/>
      <c r="C33" s="13"/>
      <c r="D33" s="13"/>
      <c r="E33" s="6" t="str">
        <f>IFERROR(INDEX(Config_Puntos!$B$2:$B$18,MATCH(D33,Config_Puntos!$A$2:$A$18,0)),"")</f>
        <v/>
      </c>
      <c r="F33" s="13"/>
    </row>
    <row r="34" spans="1:6" x14ac:dyDescent="0.25">
      <c r="A34" s="13"/>
      <c r="B34" s="13"/>
      <c r="C34" s="13"/>
      <c r="D34" s="13"/>
      <c r="E34" s="6" t="str">
        <f>IFERROR(INDEX(Config_Puntos!$B$2:$B$18,MATCH(D34,Config_Puntos!$A$2:$A$18,0)),"")</f>
        <v/>
      </c>
      <c r="F34" s="13"/>
    </row>
    <row r="35" spans="1:6" x14ac:dyDescent="0.25">
      <c r="A35" s="13"/>
      <c r="B35" s="13"/>
      <c r="C35" s="13"/>
      <c r="D35" s="13"/>
      <c r="E35" s="6" t="str">
        <f>IFERROR(INDEX(Config_Puntos!$B$2:$B$18,MATCH(D35,Config_Puntos!$A$2:$A$18,0)),"")</f>
        <v/>
      </c>
      <c r="F35" s="13"/>
    </row>
    <row r="36" spans="1:6" x14ac:dyDescent="0.25">
      <c r="A36" s="13"/>
      <c r="B36" s="13"/>
      <c r="C36" s="13"/>
      <c r="D36" s="13"/>
      <c r="E36" s="6" t="str">
        <f>IFERROR(INDEX(Config_Puntos!$B$2:$B$18,MATCH(D36,Config_Puntos!$A$2:$A$18,0)),"")</f>
        <v/>
      </c>
      <c r="F36" s="13"/>
    </row>
    <row r="37" spans="1:6" x14ac:dyDescent="0.25">
      <c r="A37" s="13"/>
      <c r="B37" s="13"/>
      <c r="C37" s="13"/>
      <c r="D37" s="13"/>
      <c r="E37" s="6" t="str">
        <f>IFERROR(INDEX(Config_Puntos!$B$2:$B$18,MATCH(D37,Config_Puntos!$A$2:$A$18,0)),"")</f>
        <v/>
      </c>
      <c r="F37" s="13"/>
    </row>
    <row r="38" spans="1:6" x14ac:dyDescent="0.25">
      <c r="A38" s="13"/>
      <c r="B38" s="13"/>
      <c r="C38" s="13"/>
      <c r="D38" s="13"/>
      <c r="E38" s="6" t="str">
        <f>IFERROR(INDEX(Config_Puntos!$B$2:$B$18,MATCH(D38,Config_Puntos!$A$2:$A$18,0)),"")</f>
        <v/>
      </c>
      <c r="F38" s="13"/>
    </row>
    <row r="39" spans="1:6" x14ac:dyDescent="0.25">
      <c r="A39" s="13"/>
      <c r="B39" s="13"/>
      <c r="C39" s="13"/>
      <c r="D39" s="13"/>
      <c r="E39" s="6" t="str">
        <f>IFERROR(INDEX(Config_Puntos!$B$2:$B$18,MATCH(D39,Config_Puntos!$A$2:$A$18,0)),"")</f>
        <v/>
      </c>
      <c r="F39" s="13"/>
    </row>
    <row r="40" spans="1:6" x14ac:dyDescent="0.25">
      <c r="A40" s="13"/>
      <c r="B40" s="13"/>
      <c r="C40" s="13"/>
      <c r="D40" s="13"/>
      <c r="E40" s="6" t="str">
        <f>IFERROR(INDEX(Config_Puntos!$B$2:$B$18,MATCH(D40,Config_Puntos!$A$2:$A$18,0)),"")</f>
        <v/>
      </c>
      <c r="F40" s="13"/>
    </row>
    <row r="41" spans="1:6" x14ac:dyDescent="0.25">
      <c r="A41" s="13"/>
      <c r="B41" s="13"/>
      <c r="C41" s="13"/>
      <c r="D41" s="13"/>
      <c r="E41" s="6" t="str">
        <f>IFERROR(INDEX(Config_Puntos!$B$2:$B$18,MATCH(D41,Config_Puntos!$A$2:$A$18,0)),"")</f>
        <v/>
      </c>
      <c r="F41" s="13"/>
    </row>
    <row r="42" spans="1:6" x14ac:dyDescent="0.25">
      <c r="A42" s="13"/>
      <c r="B42" s="13"/>
      <c r="C42" s="13"/>
      <c r="D42" s="13"/>
      <c r="E42" s="6" t="str">
        <f>IFERROR(INDEX(Config_Puntos!$B$2:$B$18,MATCH(D42,Config_Puntos!$A$2:$A$18,0)),"")</f>
        <v/>
      </c>
      <c r="F42" s="13"/>
    </row>
    <row r="43" spans="1:6" x14ac:dyDescent="0.25">
      <c r="A43" s="13"/>
      <c r="B43" s="13"/>
      <c r="C43" s="13"/>
      <c r="D43" s="13"/>
      <c r="E43" s="6" t="str">
        <f>IFERROR(INDEX(Config_Puntos!$B$2:$B$18,MATCH(D43,Config_Puntos!$A$2:$A$18,0)),"")</f>
        <v/>
      </c>
      <c r="F43" s="13"/>
    </row>
    <row r="44" spans="1:6" x14ac:dyDescent="0.25">
      <c r="A44" s="13"/>
      <c r="B44" s="13"/>
      <c r="C44" s="13"/>
      <c r="D44" s="13"/>
      <c r="E44" s="6" t="str">
        <f>IFERROR(INDEX(Config_Puntos!$B$2:$B$18,MATCH(D44,Config_Puntos!$A$2:$A$18,0)),"")</f>
        <v/>
      </c>
      <c r="F44" s="13"/>
    </row>
    <row r="45" spans="1:6" x14ac:dyDescent="0.25">
      <c r="A45" s="13"/>
      <c r="B45" s="13"/>
      <c r="C45" s="13"/>
      <c r="D45" s="13"/>
      <c r="E45" s="6" t="str">
        <f>IFERROR(INDEX(Config_Puntos!$B$2:$B$18,MATCH(D45,Config_Puntos!$A$2:$A$18,0)),"")</f>
        <v/>
      </c>
      <c r="F45" s="13"/>
    </row>
    <row r="46" spans="1:6" x14ac:dyDescent="0.25">
      <c r="A46" s="13"/>
      <c r="B46" s="13"/>
      <c r="C46" s="13"/>
      <c r="D46" s="13"/>
      <c r="E46" s="6" t="str">
        <f>IFERROR(INDEX(Config_Puntos!$B$2:$B$18,MATCH(D46,Config_Puntos!$A$2:$A$18,0)),"")</f>
        <v/>
      </c>
      <c r="F46" s="13"/>
    </row>
    <row r="47" spans="1:6" x14ac:dyDescent="0.25">
      <c r="A47" s="13"/>
      <c r="B47" s="13"/>
      <c r="C47" s="13"/>
      <c r="D47" s="13"/>
      <c r="E47" s="6" t="str">
        <f>IFERROR(INDEX(Config_Puntos!$B$2:$B$18,MATCH(D47,Config_Puntos!$A$2:$A$18,0)),"")</f>
        <v/>
      </c>
      <c r="F47" s="13"/>
    </row>
    <row r="48" spans="1:6" x14ac:dyDescent="0.25">
      <c r="A48" s="13"/>
      <c r="B48" s="13"/>
      <c r="C48" s="13"/>
      <c r="D48" s="13"/>
      <c r="E48" s="6" t="str">
        <f>IFERROR(INDEX(Config_Puntos!$B$2:$B$18,MATCH(D48,Config_Puntos!$A$2:$A$18,0)),"")</f>
        <v/>
      </c>
      <c r="F48" s="13"/>
    </row>
    <row r="49" spans="1:6" x14ac:dyDescent="0.25">
      <c r="A49" s="13"/>
      <c r="B49" s="13"/>
      <c r="C49" s="13"/>
      <c r="D49" s="13"/>
      <c r="E49" s="6" t="str">
        <f>IFERROR(INDEX(Config_Puntos!$B$2:$B$18,MATCH(D49,Config_Puntos!$A$2:$A$18,0)),"")</f>
        <v/>
      </c>
      <c r="F49" s="13"/>
    </row>
    <row r="50" spans="1:6" x14ac:dyDescent="0.25">
      <c r="A50" s="13"/>
      <c r="B50" s="13"/>
      <c r="C50" s="13"/>
      <c r="D50" s="13"/>
      <c r="E50" s="6" t="str">
        <f>IFERROR(INDEX(Config_Puntos!$B$2:$B$18,MATCH(D50,Config_Puntos!$A$2:$A$18,0)),"")</f>
        <v/>
      </c>
      <c r="F50" s="13"/>
    </row>
    <row r="51" spans="1:6" x14ac:dyDescent="0.25">
      <c r="A51" s="13"/>
      <c r="B51" s="13"/>
      <c r="C51" s="13"/>
      <c r="D51" s="13"/>
      <c r="E51" s="6" t="str">
        <f>IFERROR(INDEX(Config_Puntos!$B$2:$B$18,MATCH(D51,Config_Puntos!$A$2:$A$18,0)),"")</f>
        <v/>
      </c>
      <c r="F51" s="13"/>
    </row>
    <row r="52" spans="1:6" x14ac:dyDescent="0.25">
      <c r="A52" s="13"/>
      <c r="B52" s="13"/>
      <c r="C52" s="13"/>
      <c r="D52" s="13"/>
      <c r="E52" s="6" t="str">
        <f>IFERROR(INDEX(Config_Puntos!$B$2:$B$18,MATCH(D52,Config_Puntos!$A$2:$A$18,0)),"")</f>
        <v/>
      </c>
      <c r="F52" s="13"/>
    </row>
    <row r="53" spans="1:6" x14ac:dyDescent="0.25">
      <c r="A53" s="13"/>
      <c r="B53" s="13"/>
      <c r="C53" s="13"/>
      <c r="D53" s="13"/>
      <c r="E53" s="6" t="str">
        <f>IFERROR(INDEX(Config_Puntos!$B$2:$B$18,MATCH(D53,Config_Puntos!$A$2:$A$18,0)),"")</f>
        <v/>
      </c>
      <c r="F53" s="13"/>
    </row>
    <row r="54" spans="1:6" x14ac:dyDescent="0.25">
      <c r="A54" s="13"/>
      <c r="B54" s="13"/>
      <c r="C54" s="13"/>
      <c r="D54" s="13"/>
      <c r="E54" s="6" t="str">
        <f>IFERROR(INDEX(Config_Puntos!$B$2:$B$18,MATCH(D54,Config_Puntos!$A$2:$A$18,0)),"")</f>
        <v/>
      </c>
      <c r="F54" s="13"/>
    </row>
    <row r="55" spans="1:6" x14ac:dyDescent="0.25">
      <c r="A55" s="13"/>
      <c r="B55" s="13"/>
      <c r="C55" s="13"/>
      <c r="D55" s="13"/>
      <c r="E55" s="6" t="str">
        <f>IFERROR(INDEX(Config_Puntos!$B$2:$B$18,MATCH(D55,Config_Puntos!$A$2:$A$18,0)),"")</f>
        <v/>
      </c>
      <c r="F55" s="13"/>
    </row>
    <row r="56" spans="1:6" x14ac:dyDescent="0.25">
      <c r="A56" s="13"/>
      <c r="B56" s="13"/>
      <c r="C56" s="13"/>
      <c r="D56" s="13"/>
      <c r="E56" s="6" t="str">
        <f>IFERROR(INDEX(Config_Puntos!$B$2:$B$18,MATCH(D56,Config_Puntos!$A$2:$A$18,0)),"")</f>
        <v/>
      </c>
      <c r="F56" s="13"/>
    </row>
    <row r="57" spans="1:6" x14ac:dyDescent="0.25">
      <c r="A57" s="13"/>
      <c r="B57" s="13"/>
      <c r="C57" s="13"/>
      <c r="D57" s="13"/>
      <c r="E57" s="6" t="str">
        <f>IFERROR(INDEX(Config_Puntos!$B$2:$B$18,MATCH(D57,Config_Puntos!$A$2:$A$18,0)),"")</f>
        <v/>
      </c>
      <c r="F57" s="13"/>
    </row>
    <row r="58" spans="1:6" x14ac:dyDescent="0.25">
      <c r="A58" s="13"/>
      <c r="B58" s="13"/>
      <c r="C58" s="13"/>
      <c r="D58" s="13"/>
      <c r="E58" s="6" t="str">
        <f>IFERROR(INDEX(Config_Puntos!$B$2:$B$18,MATCH(D58,Config_Puntos!$A$2:$A$18,0)),"")</f>
        <v/>
      </c>
      <c r="F58" s="13"/>
    </row>
    <row r="59" spans="1:6" x14ac:dyDescent="0.25">
      <c r="A59" s="13"/>
      <c r="B59" s="13"/>
      <c r="C59" s="13"/>
      <c r="D59" s="13"/>
      <c r="E59" s="6" t="str">
        <f>IFERROR(INDEX(Config_Puntos!$B$2:$B$18,MATCH(D59,Config_Puntos!$A$2:$A$18,0)),"")</f>
        <v/>
      </c>
      <c r="F59" s="13"/>
    </row>
    <row r="60" spans="1:6" x14ac:dyDescent="0.25">
      <c r="A60" s="13"/>
      <c r="B60" s="13"/>
      <c r="C60" s="13"/>
      <c r="D60" s="13"/>
      <c r="E60" s="6" t="str">
        <f>IFERROR(INDEX(Config_Puntos!$B$2:$B$18,MATCH(D60,Config_Puntos!$A$2:$A$18,0)),"")</f>
        <v/>
      </c>
      <c r="F60" s="13"/>
    </row>
    <row r="61" spans="1:6" x14ac:dyDescent="0.25">
      <c r="A61" s="13"/>
      <c r="B61" s="13"/>
      <c r="C61" s="13"/>
      <c r="D61" s="13"/>
      <c r="E61" s="6" t="str">
        <f>IFERROR(INDEX(Config_Puntos!$B$2:$B$18,MATCH(D61,Config_Puntos!$A$2:$A$18,0)),"")</f>
        <v/>
      </c>
      <c r="F61" s="13"/>
    </row>
    <row r="62" spans="1:6" x14ac:dyDescent="0.25">
      <c r="A62" s="13"/>
      <c r="B62" s="13"/>
      <c r="C62" s="13"/>
      <c r="D62" s="13"/>
      <c r="E62" s="6" t="str">
        <f>IFERROR(INDEX(Config_Puntos!$B$2:$B$18,MATCH(D62,Config_Puntos!$A$2:$A$18,0)),"")</f>
        <v/>
      </c>
      <c r="F62" s="13"/>
    </row>
    <row r="63" spans="1:6" x14ac:dyDescent="0.25">
      <c r="A63" s="13"/>
      <c r="B63" s="13"/>
      <c r="C63" s="13"/>
      <c r="D63" s="13"/>
      <c r="E63" s="6" t="str">
        <f>IFERROR(INDEX(Config_Puntos!$B$2:$B$18,MATCH(D63,Config_Puntos!$A$2:$A$18,0)),"")</f>
        <v/>
      </c>
      <c r="F63" s="13"/>
    </row>
    <row r="64" spans="1:6" x14ac:dyDescent="0.25">
      <c r="A64" s="13"/>
      <c r="B64" s="13"/>
      <c r="C64" s="13"/>
      <c r="D64" s="13"/>
      <c r="E64" s="6" t="str">
        <f>IFERROR(INDEX(Config_Puntos!$B$2:$B$18,MATCH(D64,Config_Puntos!$A$2:$A$18,0)),"")</f>
        <v/>
      </c>
      <c r="F64" s="13"/>
    </row>
    <row r="65" spans="1:6" x14ac:dyDescent="0.25">
      <c r="A65" s="13"/>
      <c r="B65" s="13"/>
      <c r="C65" s="13"/>
      <c r="D65" s="13"/>
      <c r="E65" s="6" t="str">
        <f>IFERROR(INDEX(Config_Puntos!$B$2:$B$18,MATCH(D65,Config_Puntos!$A$2:$A$18,0)),"")</f>
        <v/>
      </c>
      <c r="F65" s="13"/>
    </row>
    <row r="66" spans="1:6" x14ac:dyDescent="0.25">
      <c r="A66" s="13"/>
      <c r="B66" s="13"/>
      <c r="C66" s="13"/>
      <c r="D66" s="13"/>
      <c r="E66" s="6" t="str">
        <f>IFERROR(INDEX(Config_Puntos!$B$2:$B$18,MATCH(D66,Config_Puntos!$A$2:$A$18,0)),"")</f>
        <v/>
      </c>
      <c r="F66" s="13"/>
    </row>
    <row r="67" spans="1:6" x14ac:dyDescent="0.25">
      <c r="A67" s="13"/>
      <c r="B67" s="13"/>
      <c r="C67" s="13"/>
      <c r="D67" s="13"/>
      <c r="E67" s="6" t="str">
        <f>IFERROR(INDEX(Config_Puntos!$B$2:$B$18,MATCH(D67,Config_Puntos!$A$2:$A$18,0)),"")</f>
        <v/>
      </c>
      <c r="F67" s="13"/>
    </row>
    <row r="68" spans="1:6" x14ac:dyDescent="0.25">
      <c r="A68" s="13"/>
      <c r="B68" s="13"/>
      <c r="C68" s="13"/>
      <c r="D68" s="13"/>
      <c r="E68" s="6" t="str">
        <f>IFERROR(INDEX(Config_Puntos!$B$2:$B$18,MATCH(D68,Config_Puntos!$A$2:$A$18,0)),"")</f>
        <v/>
      </c>
      <c r="F68" s="13"/>
    </row>
    <row r="69" spans="1:6" x14ac:dyDescent="0.25">
      <c r="A69" s="13"/>
      <c r="B69" s="13"/>
      <c r="C69" s="13"/>
      <c r="D69" s="13"/>
      <c r="E69" s="6" t="str">
        <f>IFERROR(INDEX(Config_Puntos!$B$2:$B$18,MATCH(D69,Config_Puntos!$A$2:$A$18,0)),"")</f>
        <v/>
      </c>
      <c r="F69" s="13"/>
    </row>
    <row r="70" spans="1:6" x14ac:dyDescent="0.25">
      <c r="A70" s="13"/>
      <c r="B70" s="13"/>
      <c r="C70" s="13"/>
      <c r="D70" s="13"/>
      <c r="E70" s="6" t="str">
        <f>IFERROR(INDEX(Config_Puntos!$B$2:$B$18,MATCH(D70,Config_Puntos!$A$2:$A$18,0)),"")</f>
        <v/>
      </c>
      <c r="F70" s="13"/>
    </row>
    <row r="71" spans="1:6" x14ac:dyDescent="0.25">
      <c r="A71" s="13"/>
      <c r="B71" s="13"/>
      <c r="C71" s="13"/>
      <c r="D71" s="13"/>
      <c r="E71" s="6" t="str">
        <f>IFERROR(INDEX(Config_Puntos!$B$2:$B$18,MATCH(D71,Config_Puntos!$A$2:$A$18,0)),"")</f>
        <v/>
      </c>
      <c r="F71" s="13"/>
    </row>
    <row r="72" spans="1:6" x14ac:dyDescent="0.25">
      <c r="A72" s="13"/>
      <c r="B72" s="13"/>
      <c r="C72" s="13"/>
      <c r="D72" s="13"/>
      <c r="E72" s="6" t="str">
        <f>IFERROR(INDEX(Config_Puntos!$B$2:$B$18,MATCH(D72,Config_Puntos!$A$2:$A$18,0)),"")</f>
        <v/>
      </c>
      <c r="F72" s="13"/>
    </row>
    <row r="73" spans="1:6" x14ac:dyDescent="0.25">
      <c r="A73" s="13"/>
      <c r="B73" s="13"/>
      <c r="C73" s="13"/>
      <c r="D73" s="13"/>
      <c r="E73" s="6" t="str">
        <f>IFERROR(INDEX(Config_Puntos!$B$2:$B$18,MATCH(D73,Config_Puntos!$A$2:$A$18,0)),"")</f>
        <v/>
      </c>
      <c r="F73" s="13"/>
    </row>
    <row r="74" spans="1:6" x14ac:dyDescent="0.25">
      <c r="A74" s="13"/>
      <c r="B74" s="13"/>
      <c r="C74" s="13"/>
      <c r="D74" s="13"/>
      <c r="E74" s="6" t="str">
        <f>IFERROR(INDEX(Config_Puntos!$B$2:$B$18,MATCH(D74,Config_Puntos!$A$2:$A$18,0)),"")</f>
        <v/>
      </c>
      <c r="F74" s="13"/>
    </row>
    <row r="75" spans="1:6" x14ac:dyDescent="0.25">
      <c r="A75" s="13"/>
      <c r="B75" s="13"/>
      <c r="C75" s="13"/>
      <c r="D75" s="13"/>
      <c r="E75" s="6" t="str">
        <f>IFERROR(INDEX(Config_Puntos!$B$2:$B$18,MATCH(D75,Config_Puntos!$A$2:$A$18,0)),"")</f>
        <v/>
      </c>
      <c r="F75" s="13"/>
    </row>
    <row r="76" spans="1:6" x14ac:dyDescent="0.25">
      <c r="A76" s="13"/>
      <c r="B76" s="13"/>
      <c r="C76" s="13"/>
      <c r="D76" s="13"/>
      <c r="E76" s="6" t="str">
        <f>IFERROR(INDEX(Config_Puntos!$B$2:$B$18,MATCH(D76,Config_Puntos!$A$2:$A$18,0)),"")</f>
        <v/>
      </c>
      <c r="F76" s="13"/>
    </row>
    <row r="77" spans="1:6" x14ac:dyDescent="0.25">
      <c r="A77" s="13"/>
      <c r="B77" s="13"/>
      <c r="C77" s="13"/>
      <c r="D77" s="13"/>
      <c r="E77" s="6" t="str">
        <f>IFERROR(INDEX(Config_Puntos!$B$2:$B$18,MATCH(D77,Config_Puntos!$A$2:$A$18,0)),"")</f>
        <v/>
      </c>
      <c r="F77" s="13"/>
    </row>
    <row r="78" spans="1:6" x14ac:dyDescent="0.25">
      <c r="A78" s="13"/>
      <c r="B78" s="13"/>
      <c r="C78" s="13"/>
      <c r="D78" s="13"/>
      <c r="E78" s="6" t="str">
        <f>IFERROR(INDEX(Config_Puntos!$B$2:$B$18,MATCH(D78,Config_Puntos!$A$2:$A$18,0)),"")</f>
        <v/>
      </c>
      <c r="F78" s="13"/>
    </row>
    <row r="79" spans="1:6" x14ac:dyDescent="0.25">
      <c r="A79" s="13"/>
      <c r="B79" s="13"/>
      <c r="C79" s="13"/>
      <c r="D79" s="13"/>
      <c r="E79" s="6" t="str">
        <f>IFERROR(INDEX(Config_Puntos!$B$2:$B$18,MATCH(D79,Config_Puntos!$A$2:$A$18,0)),"")</f>
        <v/>
      </c>
      <c r="F79" s="13"/>
    </row>
    <row r="80" spans="1:6" x14ac:dyDescent="0.25">
      <c r="A80" s="13"/>
      <c r="B80" s="13"/>
      <c r="C80" s="13"/>
      <c r="D80" s="13"/>
      <c r="E80" s="6" t="str">
        <f>IFERROR(INDEX(Config_Puntos!$B$2:$B$18,MATCH(D80,Config_Puntos!$A$2:$A$18,0)),"")</f>
        <v/>
      </c>
      <c r="F80" s="13"/>
    </row>
    <row r="81" spans="1:6" x14ac:dyDescent="0.25">
      <c r="A81" s="13"/>
      <c r="B81" s="13"/>
      <c r="C81" s="13"/>
      <c r="D81" s="13"/>
      <c r="E81" s="6" t="str">
        <f>IFERROR(INDEX(Config_Puntos!$B$2:$B$18,MATCH(D81,Config_Puntos!$A$2:$A$18,0)),"")</f>
        <v/>
      </c>
      <c r="F81" s="13"/>
    </row>
    <row r="82" spans="1:6" x14ac:dyDescent="0.25">
      <c r="A82" s="13"/>
      <c r="B82" s="13"/>
      <c r="C82" s="13"/>
      <c r="D82" s="13"/>
      <c r="E82" s="6" t="str">
        <f>IFERROR(INDEX(Config_Puntos!$B$2:$B$18,MATCH(D82,Config_Puntos!$A$2:$A$18,0)),"")</f>
        <v/>
      </c>
      <c r="F82" s="13"/>
    </row>
    <row r="83" spans="1:6" x14ac:dyDescent="0.25">
      <c r="A83" s="13"/>
      <c r="B83" s="13"/>
      <c r="C83" s="13"/>
      <c r="D83" s="13"/>
      <c r="E83" s="6" t="str">
        <f>IFERROR(INDEX(Config_Puntos!$B$2:$B$18,MATCH(D83,Config_Puntos!$A$2:$A$18,0)),"")</f>
        <v/>
      </c>
      <c r="F83" s="13"/>
    </row>
    <row r="84" spans="1:6" x14ac:dyDescent="0.25">
      <c r="A84" s="13"/>
      <c r="B84" s="13"/>
      <c r="C84" s="13"/>
      <c r="D84" s="13"/>
      <c r="E84" s="6" t="str">
        <f>IFERROR(INDEX(Config_Puntos!$B$2:$B$18,MATCH(D84,Config_Puntos!$A$2:$A$18,0)),"")</f>
        <v/>
      </c>
      <c r="F84" s="13"/>
    </row>
    <row r="85" spans="1:6" x14ac:dyDescent="0.25">
      <c r="A85" s="13"/>
      <c r="B85" s="13"/>
      <c r="C85" s="13"/>
      <c r="D85" s="13"/>
      <c r="E85" s="6" t="str">
        <f>IFERROR(INDEX(Config_Puntos!$B$2:$B$18,MATCH(D85,Config_Puntos!$A$2:$A$18,0)),"")</f>
        <v/>
      </c>
      <c r="F85" s="13"/>
    </row>
    <row r="86" spans="1:6" x14ac:dyDescent="0.25">
      <c r="A86" s="13"/>
      <c r="B86" s="13"/>
      <c r="C86" s="13"/>
      <c r="D86" s="13"/>
      <c r="E86" s="6" t="str">
        <f>IFERROR(INDEX(Config_Puntos!$B$2:$B$18,MATCH(D86,Config_Puntos!$A$2:$A$18,0)),"")</f>
        <v/>
      </c>
      <c r="F86" s="13"/>
    </row>
    <row r="87" spans="1:6" x14ac:dyDescent="0.25">
      <c r="A87" s="13"/>
      <c r="B87" s="13"/>
      <c r="C87" s="13"/>
      <c r="D87" s="13"/>
      <c r="E87" s="6" t="str">
        <f>IFERROR(INDEX(Config_Puntos!$B$2:$B$18,MATCH(D87,Config_Puntos!$A$2:$A$18,0)),"")</f>
        <v/>
      </c>
      <c r="F87" s="13"/>
    </row>
    <row r="88" spans="1:6" x14ac:dyDescent="0.25">
      <c r="A88" s="13"/>
      <c r="B88" s="13"/>
      <c r="C88" s="13"/>
      <c r="D88" s="13"/>
      <c r="E88" s="6" t="str">
        <f>IFERROR(INDEX(Config_Puntos!$B$2:$B$18,MATCH(D88,Config_Puntos!$A$2:$A$18,0)),"")</f>
        <v/>
      </c>
      <c r="F88" s="13"/>
    </row>
    <row r="89" spans="1:6" x14ac:dyDescent="0.25">
      <c r="A89" s="13"/>
      <c r="B89" s="13"/>
      <c r="C89" s="13"/>
      <c r="D89" s="13"/>
      <c r="E89" s="6" t="str">
        <f>IFERROR(INDEX(Config_Puntos!$B$2:$B$18,MATCH(D89,Config_Puntos!$A$2:$A$18,0)),"")</f>
        <v/>
      </c>
      <c r="F89" s="13"/>
    </row>
    <row r="90" spans="1:6" x14ac:dyDescent="0.25">
      <c r="A90" s="13"/>
      <c r="B90" s="13"/>
      <c r="C90" s="13"/>
      <c r="D90" s="13"/>
      <c r="E90" s="6" t="str">
        <f>IFERROR(INDEX(Config_Puntos!$B$2:$B$18,MATCH(D90,Config_Puntos!$A$2:$A$18,0)),"")</f>
        <v/>
      </c>
      <c r="F90" s="13"/>
    </row>
    <row r="91" spans="1:6" x14ac:dyDescent="0.25">
      <c r="A91" s="13"/>
      <c r="B91" s="13"/>
      <c r="C91" s="13"/>
      <c r="D91" s="13"/>
      <c r="E91" s="6" t="str">
        <f>IFERROR(INDEX(Config_Puntos!$B$2:$B$18,MATCH(D91,Config_Puntos!$A$2:$A$18,0)),"")</f>
        <v/>
      </c>
      <c r="F91" s="13"/>
    </row>
    <row r="92" spans="1:6" x14ac:dyDescent="0.25">
      <c r="A92" s="13"/>
      <c r="B92" s="13"/>
      <c r="C92" s="13"/>
      <c r="D92" s="13"/>
      <c r="E92" s="6" t="str">
        <f>IFERROR(INDEX(Config_Puntos!$B$2:$B$18,MATCH(D92,Config_Puntos!$A$2:$A$18,0)),"")</f>
        <v/>
      </c>
      <c r="F92" s="13"/>
    </row>
    <row r="93" spans="1:6" x14ac:dyDescent="0.25">
      <c r="A93" s="13"/>
      <c r="B93" s="13"/>
      <c r="C93" s="13"/>
      <c r="D93" s="13"/>
      <c r="E93" s="6" t="str">
        <f>IFERROR(INDEX(Config_Puntos!$B$2:$B$18,MATCH(D93,Config_Puntos!$A$2:$A$18,0)),"")</f>
        <v/>
      </c>
      <c r="F93" s="13"/>
    </row>
    <row r="94" spans="1:6" x14ac:dyDescent="0.25">
      <c r="A94" s="13"/>
      <c r="B94" s="13"/>
      <c r="C94" s="13"/>
      <c r="D94" s="13"/>
      <c r="E94" s="6" t="str">
        <f>IFERROR(INDEX(Config_Puntos!$B$2:$B$18,MATCH(D94,Config_Puntos!$A$2:$A$18,0)),"")</f>
        <v/>
      </c>
      <c r="F94" s="13"/>
    </row>
    <row r="95" spans="1:6" x14ac:dyDescent="0.25">
      <c r="A95" s="13"/>
      <c r="B95" s="13"/>
      <c r="C95" s="13"/>
      <c r="D95" s="13"/>
      <c r="E95" s="6" t="str">
        <f>IFERROR(INDEX(Config_Puntos!$B$2:$B$18,MATCH(D95,Config_Puntos!$A$2:$A$18,0)),"")</f>
        <v/>
      </c>
      <c r="F95" s="13"/>
    </row>
    <row r="96" spans="1:6" x14ac:dyDescent="0.25">
      <c r="A96" s="13"/>
      <c r="B96" s="13"/>
      <c r="C96" s="13"/>
      <c r="D96" s="13"/>
      <c r="E96" s="6" t="str">
        <f>IFERROR(INDEX(Config_Puntos!$B$2:$B$18,MATCH(D96,Config_Puntos!$A$2:$A$18,0)),"")</f>
        <v/>
      </c>
      <c r="F96" s="13"/>
    </row>
    <row r="97" spans="1:6" x14ac:dyDescent="0.25">
      <c r="A97" s="13"/>
      <c r="B97" s="13"/>
      <c r="C97" s="13"/>
      <c r="D97" s="13"/>
      <c r="E97" s="6" t="str">
        <f>IFERROR(INDEX(Config_Puntos!$B$2:$B$18,MATCH(D97,Config_Puntos!$A$2:$A$18,0)),"")</f>
        <v/>
      </c>
      <c r="F97" s="13"/>
    </row>
    <row r="98" spans="1:6" x14ac:dyDescent="0.25">
      <c r="A98" s="13"/>
      <c r="B98" s="13"/>
      <c r="C98" s="13"/>
      <c r="D98" s="13"/>
      <c r="E98" s="6" t="str">
        <f>IFERROR(INDEX(Config_Puntos!$B$2:$B$18,MATCH(D98,Config_Puntos!$A$2:$A$18,0)),"")</f>
        <v/>
      </c>
      <c r="F98" s="13"/>
    </row>
    <row r="99" spans="1:6" x14ac:dyDescent="0.25">
      <c r="A99" s="13"/>
      <c r="B99" s="13"/>
      <c r="C99" s="13"/>
      <c r="D99" s="13"/>
      <c r="E99" s="6" t="str">
        <f>IFERROR(INDEX(Config_Puntos!$B$2:$B$18,MATCH(D99,Config_Puntos!$A$2:$A$18,0)),"")</f>
        <v/>
      </c>
      <c r="F99" s="13"/>
    </row>
    <row r="100" spans="1:6" x14ac:dyDescent="0.25">
      <c r="A100" s="13"/>
      <c r="B100" s="13"/>
      <c r="C100" s="13"/>
      <c r="D100" s="13"/>
      <c r="E100" s="6" t="str">
        <f>IFERROR(INDEX(Config_Puntos!$B$2:$B$18,MATCH(D100,Config_Puntos!$A$2:$A$18,0)),"")</f>
        <v/>
      </c>
      <c r="F100" s="13"/>
    </row>
    <row r="101" spans="1:6" x14ac:dyDescent="0.25">
      <c r="A101" s="13"/>
      <c r="B101" s="13"/>
      <c r="C101" s="13"/>
      <c r="D101" s="13"/>
      <c r="E101" s="6" t="str">
        <f>IFERROR(INDEX(Config_Puntos!$B$2:$B$18,MATCH(D101,Config_Puntos!$A$2:$A$18,0)),"")</f>
        <v/>
      </c>
      <c r="F101" s="13"/>
    </row>
    <row r="102" spans="1:6" x14ac:dyDescent="0.25">
      <c r="A102" s="13"/>
      <c r="B102" s="13"/>
      <c r="C102" s="13"/>
      <c r="D102" s="13"/>
      <c r="E102" s="6" t="str">
        <f>IFERROR(INDEX(Config_Puntos!$B$2:$B$18,MATCH(D102,Config_Puntos!$A$2:$A$18,0)),"")</f>
        <v/>
      </c>
      <c r="F102" s="13"/>
    </row>
    <row r="103" spans="1:6" x14ac:dyDescent="0.25">
      <c r="A103" s="13"/>
      <c r="B103" s="13"/>
      <c r="C103" s="13"/>
      <c r="D103" s="13"/>
      <c r="E103" s="6" t="str">
        <f>IFERROR(INDEX(Config_Puntos!$B$2:$B$18,MATCH(D103,Config_Puntos!$A$2:$A$18,0)),"")</f>
        <v/>
      </c>
      <c r="F103" s="13"/>
    </row>
    <row r="104" spans="1:6" x14ac:dyDescent="0.25">
      <c r="A104" s="13"/>
      <c r="B104" s="13"/>
      <c r="C104" s="13"/>
      <c r="D104" s="13"/>
      <c r="E104" s="6" t="str">
        <f>IFERROR(INDEX(Config_Puntos!$B$2:$B$18,MATCH(D104,Config_Puntos!$A$2:$A$18,0)),"")</f>
        <v/>
      </c>
      <c r="F104" s="13"/>
    </row>
    <row r="105" spans="1:6" x14ac:dyDescent="0.25">
      <c r="A105" s="13"/>
      <c r="B105" s="13"/>
      <c r="C105" s="13"/>
      <c r="D105" s="13"/>
      <c r="E105" s="6" t="str">
        <f>IFERROR(INDEX(Config_Puntos!$B$2:$B$18,MATCH(D105,Config_Puntos!$A$2:$A$18,0)),"")</f>
        <v/>
      </c>
      <c r="F105" s="13"/>
    </row>
    <row r="106" spans="1:6" x14ac:dyDescent="0.25">
      <c r="A106" s="13"/>
      <c r="B106" s="13"/>
      <c r="C106" s="13"/>
      <c r="D106" s="13"/>
      <c r="E106" s="6" t="str">
        <f>IFERROR(INDEX(Config_Puntos!$B$2:$B$18,MATCH(D106,Config_Puntos!$A$2:$A$18,0)),"")</f>
        <v/>
      </c>
      <c r="F106" s="13"/>
    </row>
    <row r="107" spans="1:6" x14ac:dyDescent="0.25">
      <c r="A107" s="13"/>
      <c r="B107" s="13"/>
      <c r="C107" s="13"/>
      <c r="D107" s="13"/>
      <c r="E107" s="6" t="str">
        <f>IFERROR(INDEX(Config_Puntos!$B$2:$B$18,MATCH(D107,Config_Puntos!$A$2:$A$18,0)),"")</f>
        <v/>
      </c>
      <c r="F107" s="13"/>
    </row>
    <row r="108" spans="1:6" x14ac:dyDescent="0.25">
      <c r="A108" s="13"/>
      <c r="B108" s="13"/>
      <c r="C108" s="13"/>
      <c r="D108" s="13"/>
      <c r="E108" s="6" t="str">
        <f>IFERROR(INDEX(Config_Puntos!$B$2:$B$18,MATCH(D108,Config_Puntos!$A$2:$A$18,0)),"")</f>
        <v/>
      </c>
      <c r="F108" s="13"/>
    </row>
    <row r="109" spans="1:6" x14ac:dyDescent="0.25">
      <c r="A109" s="13"/>
      <c r="B109" s="13"/>
      <c r="C109" s="13"/>
      <c r="D109" s="13"/>
      <c r="E109" s="6" t="str">
        <f>IFERROR(INDEX(Config_Puntos!$B$2:$B$18,MATCH(D109,Config_Puntos!$A$2:$A$18,0)),"")</f>
        <v/>
      </c>
      <c r="F109" s="13"/>
    </row>
    <row r="110" spans="1:6" x14ac:dyDescent="0.25">
      <c r="A110" s="13"/>
      <c r="B110" s="13"/>
      <c r="C110" s="13"/>
      <c r="D110" s="13"/>
      <c r="E110" s="6" t="str">
        <f>IFERROR(INDEX(Config_Puntos!$B$2:$B$18,MATCH(D110,Config_Puntos!$A$2:$A$18,0)),"")</f>
        <v/>
      </c>
      <c r="F110" s="13"/>
    </row>
    <row r="111" spans="1:6" x14ac:dyDescent="0.25">
      <c r="A111" s="13"/>
      <c r="B111" s="13"/>
      <c r="C111" s="13"/>
      <c r="D111" s="13"/>
      <c r="E111" s="6" t="str">
        <f>IFERROR(INDEX(Config_Puntos!$B$2:$B$18,MATCH(D111,Config_Puntos!$A$2:$A$18,0)),"")</f>
        <v/>
      </c>
      <c r="F111" s="13"/>
    </row>
    <row r="112" spans="1:6" x14ac:dyDescent="0.25">
      <c r="A112" s="13"/>
      <c r="B112" s="13"/>
      <c r="C112" s="13"/>
      <c r="D112" s="13"/>
      <c r="E112" s="6" t="str">
        <f>IFERROR(INDEX(Config_Puntos!$B$2:$B$18,MATCH(D112,Config_Puntos!$A$2:$A$18,0)),"")</f>
        <v/>
      </c>
      <c r="F112" s="13"/>
    </row>
    <row r="113" spans="1:6" x14ac:dyDescent="0.25">
      <c r="A113" s="13"/>
      <c r="B113" s="13"/>
      <c r="C113" s="13"/>
      <c r="D113" s="13"/>
      <c r="E113" s="6" t="str">
        <f>IFERROR(INDEX(Config_Puntos!$B$2:$B$18,MATCH(D113,Config_Puntos!$A$2:$A$18,0)),"")</f>
        <v/>
      </c>
      <c r="F113" s="13"/>
    </row>
    <row r="114" spans="1:6" x14ac:dyDescent="0.25">
      <c r="A114" s="13"/>
      <c r="B114" s="13"/>
      <c r="C114" s="13"/>
      <c r="D114" s="13"/>
      <c r="E114" s="6" t="str">
        <f>IFERROR(INDEX(Config_Puntos!$B$2:$B$18,MATCH(D114,Config_Puntos!$A$2:$A$18,0)),"")</f>
        <v/>
      </c>
      <c r="F114" s="13"/>
    </row>
    <row r="115" spans="1:6" x14ac:dyDescent="0.25">
      <c r="A115" s="13"/>
      <c r="B115" s="13"/>
      <c r="C115" s="13"/>
      <c r="D115" s="13"/>
      <c r="E115" s="6" t="str">
        <f>IFERROR(INDEX(Config_Puntos!$B$2:$B$18,MATCH(D115,Config_Puntos!$A$2:$A$18,0)),"")</f>
        <v/>
      </c>
      <c r="F115" s="13"/>
    </row>
    <row r="116" spans="1:6" x14ac:dyDescent="0.25">
      <c r="A116" s="13"/>
      <c r="B116" s="13"/>
      <c r="C116" s="13"/>
      <c r="D116" s="13"/>
      <c r="E116" s="6" t="str">
        <f>IFERROR(INDEX(Config_Puntos!$B$2:$B$18,MATCH(D116,Config_Puntos!$A$2:$A$18,0)),"")</f>
        <v/>
      </c>
      <c r="F116" s="13"/>
    </row>
    <row r="117" spans="1:6" x14ac:dyDescent="0.25">
      <c r="A117" s="13"/>
      <c r="B117" s="13"/>
      <c r="C117" s="13"/>
      <c r="D117" s="13"/>
      <c r="E117" s="6" t="str">
        <f>IFERROR(INDEX(Config_Puntos!$B$2:$B$18,MATCH(D117,Config_Puntos!$A$2:$A$18,0)),"")</f>
        <v/>
      </c>
      <c r="F117" s="13"/>
    </row>
    <row r="118" spans="1:6" x14ac:dyDescent="0.25">
      <c r="A118" s="13"/>
      <c r="B118" s="13"/>
      <c r="C118" s="13"/>
      <c r="D118" s="13"/>
      <c r="E118" s="6" t="str">
        <f>IFERROR(INDEX(Config_Puntos!$B$2:$B$18,MATCH(D118,Config_Puntos!$A$2:$A$18,0)),"")</f>
        <v/>
      </c>
      <c r="F118" s="13"/>
    </row>
    <row r="119" spans="1:6" x14ac:dyDescent="0.25">
      <c r="A119" s="13"/>
      <c r="B119" s="13"/>
      <c r="C119" s="13"/>
      <c r="D119" s="13"/>
      <c r="E119" s="6" t="str">
        <f>IFERROR(INDEX(Config_Puntos!$B$2:$B$18,MATCH(D119,Config_Puntos!$A$2:$A$18,0)),"")</f>
        <v/>
      </c>
      <c r="F119" s="13"/>
    </row>
    <row r="120" spans="1:6" x14ac:dyDescent="0.25">
      <c r="A120" s="13"/>
      <c r="B120" s="13"/>
      <c r="C120" s="13"/>
      <c r="D120" s="13"/>
      <c r="E120" s="6" t="str">
        <f>IFERROR(INDEX(Config_Puntos!$B$2:$B$18,MATCH(D120,Config_Puntos!$A$2:$A$18,0)),"")</f>
        <v/>
      </c>
      <c r="F120" s="13"/>
    </row>
    <row r="121" spans="1:6" x14ac:dyDescent="0.25">
      <c r="A121" s="13"/>
      <c r="B121" s="13"/>
      <c r="C121" s="13"/>
      <c r="D121" s="13"/>
      <c r="E121" s="6" t="str">
        <f>IFERROR(INDEX(Config_Puntos!$B$2:$B$18,MATCH(D121,Config_Puntos!$A$2:$A$18,0)),"")</f>
        <v/>
      </c>
      <c r="F121" s="13"/>
    </row>
    <row r="122" spans="1:6" x14ac:dyDescent="0.25">
      <c r="A122" s="13"/>
      <c r="B122" s="13"/>
      <c r="C122" s="13"/>
      <c r="D122" s="13"/>
      <c r="E122" s="6" t="str">
        <f>IFERROR(INDEX(Config_Puntos!$B$2:$B$18,MATCH(D122,Config_Puntos!$A$2:$A$18,0)),"")</f>
        <v/>
      </c>
      <c r="F122" s="13"/>
    </row>
    <row r="123" spans="1:6" x14ac:dyDescent="0.25">
      <c r="A123" s="13"/>
      <c r="B123" s="13"/>
      <c r="C123" s="13"/>
      <c r="D123" s="13"/>
      <c r="E123" s="6" t="str">
        <f>IFERROR(INDEX(Config_Puntos!$B$2:$B$18,MATCH(D123,Config_Puntos!$A$2:$A$18,0)),"")</f>
        <v/>
      </c>
      <c r="F123" s="13"/>
    </row>
    <row r="124" spans="1:6" x14ac:dyDescent="0.25">
      <c r="A124" s="13"/>
      <c r="B124" s="13"/>
      <c r="C124" s="13"/>
      <c r="D124" s="13"/>
      <c r="E124" s="6" t="str">
        <f>IFERROR(INDEX(Config_Puntos!$B$2:$B$18,MATCH(D124,Config_Puntos!$A$2:$A$18,0)),"")</f>
        <v/>
      </c>
      <c r="F124" s="13"/>
    </row>
    <row r="125" spans="1:6" x14ac:dyDescent="0.25">
      <c r="A125" s="13"/>
      <c r="B125" s="13"/>
      <c r="C125" s="13"/>
      <c r="D125" s="13"/>
      <c r="E125" s="6" t="str">
        <f>IFERROR(INDEX(Config_Puntos!$B$2:$B$18,MATCH(D125,Config_Puntos!$A$2:$A$18,0)),"")</f>
        <v/>
      </c>
      <c r="F125" s="13"/>
    </row>
    <row r="126" spans="1:6" x14ac:dyDescent="0.25">
      <c r="A126" s="13"/>
      <c r="B126" s="13"/>
      <c r="C126" s="13"/>
      <c r="D126" s="13"/>
      <c r="E126" s="6" t="str">
        <f>IFERROR(INDEX(Config_Puntos!$B$2:$B$18,MATCH(D126,Config_Puntos!$A$2:$A$18,0)),"")</f>
        <v/>
      </c>
      <c r="F126" s="13"/>
    </row>
    <row r="127" spans="1:6" x14ac:dyDescent="0.25">
      <c r="A127" s="13"/>
      <c r="B127" s="13"/>
      <c r="C127" s="13"/>
      <c r="D127" s="13"/>
      <c r="E127" s="6" t="str">
        <f>IFERROR(INDEX(Config_Puntos!$B$2:$B$18,MATCH(D127,Config_Puntos!$A$2:$A$18,0)),"")</f>
        <v/>
      </c>
      <c r="F127" s="13"/>
    </row>
    <row r="128" spans="1:6" x14ac:dyDescent="0.25">
      <c r="A128" s="13"/>
      <c r="B128" s="13"/>
      <c r="C128" s="13"/>
      <c r="D128" s="13"/>
      <c r="E128" s="6" t="str">
        <f>IFERROR(INDEX(Config_Puntos!$B$2:$B$18,MATCH(D128,Config_Puntos!$A$2:$A$18,0)),"")</f>
        <v/>
      </c>
      <c r="F128" s="13"/>
    </row>
    <row r="129" spans="1:6" x14ac:dyDescent="0.25">
      <c r="A129" s="13"/>
      <c r="B129" s="13"/>
      <c r="C129" s="13"/>
      <c r="D129" s="13"/>
      <c r="E129" s="6" t="str">
        <f>IFERROR(INDEX(Config_Puntos!$B$2:$B$18,MATCH(D129,Config_Puntos!$A$2:$A$18,0)),"")</f>
        <v/>
      </c>
      <c r="F129" s="13"/>
    </row>
    <row r="130" spans="1:6" x14ac:dyDescent="0.25">
      <c r="A130" s="13"/>
      <c r="B130" s="13"/>
      <c r="C130" s="13"/>
      <c r="D130" s="13"/>
      <c r="E130" s="6" t="str">
        <f>IFERROR(INDEX(Config_Puntos!$B$2:$B$18,MATCH(D130,Config_Puntos!$A$2:$A$18,0)),"")</f>
        <v/>
      </c>
      <c r="F130" s="13"/>
    </row>
    <row r="131" spans="1:6" x14ac:dyDescent="0.25">
      <c r="A131" s="13"/>
      <c r="B131" s="13"/>
      <c r="C131" s="13"/>
      <c r="D131" s="13"/>
      <c r="E131" s="6" t="str">
        <f>IFERROR(INDEX(Config_Puntos!$B$2:$B$18,MATCH(D131,Config_Puntos!$A$2:$A$18,0)),"")</f>
        <v/>
      </c>
      <c r="F131" s="13"/>
    </row>
    <row r="132" spans="1:6" x14ac:dyDescent="0.25">
      <c r="A132" s="13"/>
      <c r="B132" s="13"/>
      <c r="C132" s="13"/>
      <c r="D132" s="13"/>
      <c r="E132" s="6" t="str">
        <f>IFERROR(INDEX(Config_Puntos!$B$2:$B$18,MATCH(D132,Config_Puntos!$A$2:$A$18,0)),"")</f>
        <v/>
      </c>
      <c r="F132" s="13"/>
    </row>
    <row r="133" spans="1:6" x14ac:dyDescent="0.25">
      <c r="A133" s="13"/>
      <c r="B133" s="13"/>
      <c r="C133" s="13"/>
      <c r="D133" s="13"/>
      <c r="E133" s="6" t="str">
        <f>IFERROR(INDEX(Config_Puntos!$B$2:$B$18,MATCH(D133,Config_Puntos!$A$2:$A$18,0)),"")</f>
        <v/>
      </c>
      <c r="F133" s="13"/>
    </row>
    <row r="134" spans="1:6" x14ac:dyDescent="0.25">
      <c r="A134" s="13"/>
      <c r="B134" s="13"/>
      <c r="C134" s="13"/>
      <c r="D134" s="13"/>
      <c r="E134" s="6" t="str">
        <f>IFERROR(INDEX(Config_Puntos!$B$2:$B$18,MATCH(D134,Config_Puntos!$A$2:$A$18,0)),"")</f>
        <v/>
      </c>
      <c r="F134" s="13"/>
    </row>
    <row r="135" spans="1:6" x14ac:dyDescent="0.25">
      <c r="A135" s="13"/>
      <c r="B135" s="13"/>
      <c r="C135" s="13"/>
      <c r="D135" s="13"/>
      <c r="E135" s="6" t="str">
        <f>IFERROR(INDEX(Config_Puntos!$B$2:$B$18,MATCH(D135,Config_Puntos!$A$2:$A$18,0)),"")</f>
        <v/>
      </c>
      <c r="F135" s="13"/>
    </row>
    <row r="136" spans="1:6" x14ac:dyDescent="0.25">
      <c r="A136" s="13"/>
      <c r="B136" s="13"/>
      <c r="C136" s="13"/>
      <c r="D136" s="13"/>
      <c r="E136" s="6" t="str">
        <f>IFERROR(INDEX(Config_Puntos!$B$2:$B$18,MATCH(D136,Config_Puntos!$A$2:$A$18,0)),"")</f>
        <v/>
      </c>
      <c r="F136" s="13"/>
    </row>
    <row r="137" spans="1:6" x14ac:dyDescent="0.25">
      <c r="A137" s="13"/>
      <c r="B137" s="13"/>
      <c r="C137" s="13"/>
      <c r="D137" s="13"/>
      <c r="E137" s="6" t="str">
        <f>IFERROR(INDEX(Config_Puntos!$B$2:$B$18,MATCH(D137,Config_Puntos!$A$2:$A$18,0)),"")</f>
        <v/>
      </c>
      <c r="F137" s="13"/>
    </row>
    <row r="138" spans="1:6" x14ac:dyDescent="0.25">
      <c r="A138" s="13"/>
      <c r="B138" s="13"/>
      <c r="C138" s="13"/>
      <c r="D138" s="13"/>
      <c r="E138" s="6" t="str">
        <f>IFERROR(INDEX(Config_Puntos!$B$2:$B$18,MATCH(D138,Config_Puntos!$A$2:$A$18,0)),"")</f>
        <v/>
      </c>
      <c r="F138" s="13"/>
    </row>
    <row r="139" spans="1:6" x14ac:dyDescent="0.25">
      <c r="A139" s="13"/>
      <c r="B139" s="13"/>
      <c r="C139" s="13"/>
      <c r="D139" s="13"/>
      <c r="E139" s="6" t="str">
        <f>IFERROR(INDEX(Config_Puntos!$B$2:$B$18,MATCH(D139,Config_Puntos!$A$2:$A$18,0)),"")</f>
        <v/>
      </c>
      <c r="F139" s="13"/>
    </row>
    <row r="140" spans="1:6" x14ac:dyDescent="0.25">
      <c r="A140" s="13"/>
      <c r="B140" s="13"/>
      <c r="C140" s="13"/>
      <c r="D140" s="13"/>
      <c r="E140" s="6" t="str">
        <f>IFERROR(INDEX(Config_Puntos!$B$2:$B$18,MATCH(D140,Config_Puntos!$A$2:$A$18,0)),"")</f>
        <v/>
      </c>
      <c r="F140" s="13"/>
    </row>
    <row r="141" spans="1:6" x14ac:dyDescent="0.25">
      <c r="A141" s="13"/>
      <c r="B141" s="13"/>
      <c r="C141" s="13"/>
      <c r="D141" s="13"/>
      <c r="E141" s="6" t="str">
        <f>IFERROR(INDEX(Config_Puntos!$B$2:$B$18,MATCH(D141,Config_Puntos!$A$2:$A$18,0)),"")</f>
        <v/>
      </c>
      <c r="F141" s="13"/>
    </row>
    <row r="142" spans="1:6" x14ac:dyDescent="0.25">
      <c r="A142" s="13"/>
      <c r="B142" s="13"/>
      <c r="C142" s="13"/>
      <c r="D142" s="13"/>
      <c r="E142" s="6" t="str">
        <f>IFERROR(INDEX(Config_Puntos!$B$2:$B$18,MATCH(D142,Config_Puntos!$A$2:$A$18,0)),"")</f>
        <v/>
      </c>
      <c r="F142" s="13"/>
    </row>
    <row r="143" spans="1:6" x14ac:dyDescent="0.25">
      <c r="A143" s="13"/>
      <c r="B143" s="13"/>
      <c r="C143" s="13"/>
      <c r="D143" s="13"/>
      <c r="E143" s="6" t="str">
        <f>IFERROR(INDEX(Config_Puntos!$B$2:$B$18,MATCH(D143,Config_Puntos!$A$2:$A$18,0)),"")</f>
        <v/>
      </c>
      <c r="F143" s="13"/>
    </row>
    <row r="144" spans="1:6" x14ac:dyDescent="0.25">
      <c r="A144" s="13"/>
      <c r="B144" s="13"/>
      <c r="C144" s="13"/>
      <c r="D144" s="13"/>
      <c r="E144" s="6" t="str">
        <f>IFERROR(INDEX(Config_Puntos!$B$2:$B$18,MATCH(D144,Config_Puntos!$A$2:$A$18,0)),"")</f>
        <v/>
      </c>
      <c r="F144" s="13"/>
    </row>
    <row r="145" spans="1:6" x14ac:dyDescent="0.25">
      <c r="A145" s="13"/>
      <c r="B145" s="13"/>
      <c r="C145" s="13"/>
      <c r="D145" s="13"/>
      <c r="E145" s="6" t="str">
        <f>IFERROR(INDEX(Config_Puntos!$B$2:$B$18,MATCH(D145,Config_Puntos!$A$2:$A$18,0)),"")</f>
        <v/>
      </c>
      <c r="F145" s="13"/>
    </row>
    <row r="146" spans="1:6" x14ac:dyDescent="0.25">
      <c r="A146" s="13"/>
      <c r="B146" s="13"/>
      <c r="C146" s="13"/>
      <c r="D146" s="13"/>
      <c r="E146" s="6" t="str">
        <f>IFERROR(INDEX(Config_Puntos!$B$2:$B$18,MATCH(D146,Config_Puntos!$A$2:$A$18,0)),"")</f>
        <v/>
      </c>
      <c r="F146" s="13"/>
    </row>
    <row r="147" spans="1:6" x14ac:dyDescent="0.25">
      <c r="A147" s="13"/>
      <c r="B147" s="13"/>
      <c r="C147" s="13"/>
      <c r="D147" s="13"/>
      <c r="E147" s="6" t="str">
        <f>IFERROR(INDEX(Config_Puntos!$B$2:$B$18,MATCH(D147,Config_Puntos!$A$2:$A$18,0)),"")</f>
        <v/>
      </c>
      <c r="F147" s="13"/>
    </row>
    <row r="148" spans="1:6" x14ac:dyDescent="0.25">
      <c r="A148" s="13"/>
      <c r="B148" s="13"/>
      <c r="C148" s="13"/>
      <c r="D148" s="13"/>
      <c r="E148" s="6" t="str">
        <f>IFERROR(INDEX(Config_Puntos!$B$2:$B$18,MATCH(D148,Config_Puntos!$A$2:$A$18,0)),"")</f>
        <v/>
      </c>
      <c r="F148" s="13"/>
    </row>
    <row r="149" spans="1:6" x14ac:dyDescent="0.25">
      <c r="A149" s="13"/>
      <c r="B149" s="13"/>
      <c r="C149" s="13"/>
      <c r="D149" s="13"/>
      <c r="E149" s="6" t="str">
        <f>IFERROR(INDEX(Config_Puntos!$B$2:$B$18,MATCH(D149,Config_Puntos!$A$2:$A$18,0)),"")</f>
        <v/>
      </c>
      <c r="F149" s="13"/>
    </row>
    <row r="150" spans="1:6" x14ac:dyDescent="0.25">
      <c r="A150" s="13"/>
      <c r="B150" s="13"/>
      <c r="C150" s="13"/>
      <c r="D150" s="13"/>
      <c r="E150" s="6" t="str">
        <f>IFERROR(INDEX(Config_Puntos!$B$2:$B$18,MATCH(D150,Config_Puntos!$A$2:$A$18,0)),"")</f>
        <v/>
      </c>
      <c r="F150" s="13"/>
    </row>
    <row r="151" spans="1:6" x14ac:dyDescent="0.25">
      <c r="A151" s="13"/>
      <c r="B151" s="13"/>
      <c r="C151" s="13"/>
      <c r="D151" s="13"/>
      <c r="E151" s="6" t="str">
        <f>IFERROR(INDEX(Config_Puntos!$B$2:$B$18,MATCH(D151,Config_Puntos!$A$2:$A$18,0)),"")</f>
        <v/>
      </c>
      <c r="F151" s="13"/>
    </row>
    <row r="152" spans="1:6" x14ac:dyDescent="0.25">
      <c r="A152" s="13"/>
      <c r="B152" s="13"/>
      <c r="C152" s="13"/>
      <c r="D152" s="13"/>
      <c r="E152" s="6" t="str">
        <f>IFERROR(INDEX(Config_Puntos!$B$2:$B$18,MATCH(D152,Config_Puntos!$A$2:$A$18,0)),"")</f>
        <v/>
      </c>
      <c r="F152" s="13"/>
    </row>
    <row r="153" spans="1:6" x14ac:dyDescent="0.25">
      <c r="A153" s="13"/>
      <c r="B153" s="13"/>
      <c r="C153" s="13"/>
      <c r="D153" s="13"/>
      <c r="E153" s="6" t="str">
        <f>IFERROR(INDEX(Config_Puntos!$B$2:$B$18,MATCH(D153,Config_Puntos!$A$2:$A$18,0)),"")</f>
        <v/>
      </c>
      <c r="F153" s="13"/>
    </row>
    <row r="154" spans="1:6" x14ac:dyDescent="0.25">
      <c r="A154" s="13"/>
      <c r="B154" s="13"/>
      <c r="C154" s="13"/>
      <c r="D154" s="13"/>
      <c r="E154" s="6" t="str">
        <f>IFERROR(INDEX(Config_Puntos!$B$2:$B$18,MATCH(D154,Config_Puntos!$A$2:$A$18,0)),"")</f>
        <v/>
      </c>
      <c r="F154" s="13"/>
    </row>
    <row r="155" spans="1:6" x14ac:dyDescent="0.25">
      <c r="A155" s="13"/>
      <c r="B155" s="13"/>
      <c r="C155" s="13"/>
      <c r="D155" s="13"/>
      <c r="E155" s="6" t="str">
        <f>IFERROR(INDEX(Config_Puntos!$B$2:$B$18,MATCH(D155,Config_Puntos!$A$2:$A$18,0)),"")</f>
        <v/>
      </c>
      <c r="F155" s="13"/>
    </row>
    <row r="156" spans="1:6" x14ac:dyDescent="0.25">
      <c r="A156" s="13"/>
      <c r="B156" s="13"/>
      <c r="C156" s="13"/>
      <c r="D156" s="13"/>
      <c r="E156" s="6" t="str">
        <f>IFERROR(INDEX(Config_Puntos!$B$2:$B$18,MATCH(D156,Config_Puntos!$A$2:$A$18,0)),"")</f>
        <v/>
      </c>
      <c r="F156" s="13"/>
    </row>
    <row r="157" spans="1:6" x14ac:dyDescent="0.25">
      <c r="A157" s="13"/>
      <c r="B157" s="13"/>
      <c r="C157" s="13"/>
      <c r="D157" s="13"/>
      <c r="E157" s="6" t="str">
        <f>IFERROR(INDEX(Config_Puntos!$B$2:$B$18,MATCH(D157,Config_Puntos!$A$2:$A$18,0)),"")</f>
        <v/>
      </c>
      <c r="F157" s="13"/>
    </row>
    <row r="158" spans="1:6" x14ac:dyDescent="0.25">
      <c r="A158" s="13"/>
      <c r="B158" s="13"/>
      <c r="C158" s="13"/>
      <c r="D158" s="13"/>
      <c r="E158" s="6" t="str">
        <f>IFERROR(INDEX(Config_Puntos!$B$2:$B$18,MATCH(D158,Config_Puntos!$A$2:$A$18,0)),"")</f>
        <v/>
      </c>
      <c r="F158" s="13"/>
    </row>
    <row r="159" spans="1:6" x14ac:dyDescent="0.25">
      <c r="A159" s="13"/>
      <c r="B159" s="13"/>
      <c r="C159" s="13"/>
      <c r="D159" s="13"/>
      <c r="E159" s="6" t="str">
        <f>IFERROR(INDEX(Config_Puntos!$B$2:$B$18,MATCH(D159,Config_Puntos!$A$2:$A$18,0)),"")</f>
        <v/>
      </c>
      <c r="F159" s="13"/>
    </row>
    <row r="160" spans="1:6" x14ac:dyDescent="0.25">
      <c r="A160" s="13"/>
      <c r="B160" s="13"/>
      <c r="C160" s="13"/>
      <c r="D160" s="13"/>
      <c r="E160" s="6" t="str">
        <f>IFERROR(INDEX(Config_Puntos!$B$2:$B$18,MATCH(D160,Config_Puntos!$A$2:$A$18,0)),"")</f>
        <v/>
      </c>
      <c r="F160" s="13"/>
    </row>
    <row r="161" spans="1:6" x14ac:dyDescent="0.25">
      <c r="A161" s="13"/>
      <c r="B161" s="13"/>
      <c r="C161" s="13"/>
      <c r="D161" s="13"/>
      <c r="E161" s="6" t="str">
        <f>IFERROR(INDEX(Config_Puntos!$B$2:$B$18,MATCH(D161,Config_Puntos!$A$2:$A$18,0)),"")</f>
        <v/>
      </c>
      <c r="F161" s="13"/>
    </row>
    <row r="162" spans="1:6" x14ac:dyDescent="0.25">
      <c r="A162" s="13"/>
      <c r="B162" s="13"/>
      <c r="C162" s="13"/>
      <c r="D162" s="13"/>
      <c r="E162" s="6" t="str">
        <f>IFERROR(INDEX(Config_Puntos!$B$2:$B$18,MATCH(D162,Config_Puntos!$A$2:$A$18,0)),"")</f>
        <v/>
      </c>
      <c r="F162" s="13"/>
    </row>
    <row r="163" spans="1:6" x14ac:dyDescent="0.25">
      <c r="A163" s="13"/>
      <c r="B163" s="13"/>
      <c r="C163" s="13"/>
      <c r="D163" s="13"/>
      <c r="E163" s="6" t="str">
        <f>IFERROR(INDEX(Config_Puntos!$B$2:$B$18,MATCH(D163,Config_Puntos!$A$2:$A$18,0)),"")</f>
        <v/>
      </c>
      <c r="F163" s="13"/>
    </row>
    <row r="164" spans="1:6" x14ac:dyDescent="0.25">
      <c r="A164" s="13"/>
      <c r="B164" s="13"/>
      <c r="C164" s="13"/>
      <c r="D164" s="13"/>
      <c r="E164" s="6" t="str">
        <f>IFERROR(INDEX(Config_Puntos!$B$2:$B$18,MATCH(D164,Config_Puntos!$A$2:$A$18,0)),"")</f>
        <v/>
      </c>
      <c r="F164" s="13"/>
    </row>
    <row r="165" spans="1:6" x14ac:dyDescent="0.25">
      <c r="A165" s="13"/>
      <c r="B165" s="13"/>
      <c r="C165" s="13"/>
      <c r="D165" s="13"/>
      <c r="E165" s="6" t="str">
        <f>IFERROR(INDEX(Config_Puntos!$B$2:$B$18,MATCH(D165,Config_Puntos!$A$2:$A$18,0)),"")</f>
        <v/>
      </c>
      <c r="F165" s="13"/>
    </row>
    <row r="166" spans="1:6" x14ac:dyDescent="0.25">
      <c r="A166" s="13"/>
      <c r="B166" s="13"/>
      <c r="C166" s="13"/>
      <c r="D166" s="13"/>
      <c r="E166" s="6" t="str">
        <f>IFERROR(INDEX(Config_Puntos!$B$2:$B$18,MATCH(D166,Config_Puntos!$A$2:$A$18,0)),"")</f>
        <v/>
      </c>
      <c r="F166" s="13"/>
    </row>
    <row r="167" spans="1:6" x14ac:dyDescent="0.25">
      <c r="A167" s="13"/>
      <c r="B167" s="13"/>
      <c r="C167" s="13"/>
      <c r="D167" s="13"/>
      <c r="E167" s="6" t="str">
        <f>IFERROR(INDEX(Config_Puntos!$B$2:$B$18,MATCH(D167,Config_Puntos!$A$2:$A$18,0)),"")</f>
        <v/>
      </c>
      <c r="F167" s="13"/>
    </row>
    <row r="168" spans="1:6" x14ac:dyDescent="0.25">
      <c r="A168" s="13"/>
      <c r="B168" s="13"/>
      <c r="C168" s="13"/>
      <c r="D168" s="13"/>
      <c r="E168" s="6" t="str">
        <f>IFERROR(INDEX(Config_Puntos!$B$2:$B$18,MATCH(D168,Config_Puntos!$A$2:$A$18,0)),"")</f>
        <v/>
      </c>
      <c r="F168" s="13"/>
    </row>
    <row r="169" spans="1:6" x14ac:dyDescent="0.25">
      <c r="A169" s="13"/>
      <c r="B169" s="13"/>
      <c r="C169" s="13"/>
      <c r="D169" s="13"/>
      <c r="E169" s="6" t="str">
        <f>IFERROR(INDEX(Config_Puntos!$B$2:$B$18,MATCH(D169,Config_Puntos!$A$2:$A$18,0)),"")</f>
        <v/>
      </c>
      <c r="F169" s="13"/>
    </row>
    <row r="170" spans="1:6" x14ac:dyDescent="0.25">
      <c r="A170" s="13"/>
      <c r="B170" s="13"/>
      <c r="C170" s="13"/>
      <c r="D170" s="13"/>
      <c r="E170" s="6" t="str">
        <f>IFERROR(INDEX(Config_Puntos!$B$2:$B$18,MATCH(D170,Config_Puntos!$A$2:$A$18,0)),"")</f>
        <v/>
      </c>
      <c r="F170" s="13"/>
    </row>
    <row r="171" spans="1:6" x14ac:dyDescent="0.25">
      <c r="A171" s="13"/>
      <c r="B171" s="13"/>
      <c r="C171" s="13"/>
      <c r="D171" s="13"/>
      <c r="E171" s="6" t="str">
        <f>IFERROR(INDEX(Config_Puntos!$B$2:$B$18,MATCH(D171,Config_Puntos!$A$2:$A$18,0)),"")</f>
        <v/>
      </c>
      <c r="F171" s="13"/>
    </row>
    <row r="172" spans="1:6" x14ac:dyDescent="0.25">
      <c r="A172" s="13"/>
      <c r="B172" s="13"/>
      <c r="C172" s="13"/>
      <c r="D172" s="13"/>
      <c r="E172" s="6" t="str">
        <f>IFERROR(INDEX(Config_Puntos!$B$2:$B$18,MATCH(D172,Config_Puntos!$A$2:$A$18,0)),"")</f>
        <v/>
      </c>
      <c r="F172" s="13"/>
    </row>
    <row r="173" spans="1:6" x14ac:dyDescent="0.25">
      <c r="A173" s="13"/>
      <c r="B173" s="13"/>
      <c r="C173" s="13"/>
      <c r="D173" s="13"/>
      <c r="E173" s="6" t="str">
        <f>IFERROR(INDEX(Config_Puntos!$B$2:$B$18,MATCH(D173,Config_Puntos!$A$2:$A$18,0)),"")</f>
        <v/>
      </c>
      <c r="F173" s="13"/>
    </row>
    <row r="174" spans="1:6" x14ac:dyDescent="0.25">
      <c r="A174" s="13"/>
      <c r="B174" s="13"/>
      <c r="C174" s="13"/>
      <c r="D174" s="13"/>
      <c r="E174" s="6" t="str">
        <f>IFERROR(INDEX(Config_Puntos!$B$2:$B$18,MATCH(D174,Config_Puntos!$A$2:$A$18,0)),"")</f>
        <v/>
      </c>
      <c r="F174" s="13"/>
    </row>
    <row r="175" spans="1:6" x14ac:dyDescent="0.25">
      <c r="A175" s="13"/>
      <c r="B175" s="13"/>
      <c r="C175" s="13"/>
      <c r="D175" s="13"/>
      <c r="E175" s="6" t="str">
        <f>IFERROR(INDEX(Config_Puntos!$B$2:$B$18,MATCH(D175,Config_Puntos!$A$2:$A$18,0)),"")</f>
        <v/>
      </c>
      <c r="F175" s="13"/>
    </row>
    <row r="176" spans="1:6" x14ac:dyDescent="0.25">
      <c r="A176" s="13"/>
      <c r="B176" s="13"/>
      <c r="C176" s="13"/>
      <c r="D176" s="13"/>
      <c r="E176" s="6" t="str">
        <f>IFERROR(INDEX(Config_Puntos!$B$2:$B$18,MATCH(D176,Config_Puntos!$A$2:$A$18,0)),"")</f>
        <v/>
      </c>
      <c r="F176" s="13"/>
    </row>
    <row r="177" spans="1:6" x14ac:dyDescent="0.25">
      <c r="A177" s="13"/>
      <c r="B177" s="13"/>
      <c r="C177" s="13"/>
      <c r="D177" s="13"/>
      <c r="E177" s="6" t="str">
        <f>IFERROR(INDEX(Config_Puntos!$B$2:$B$18,MATCH(D177,Config_Puntos!$A$2:$A$18,0)),"")</f>
        <v/>
      </c>
      <c r="F177" s="13"/>
    </row>
    <row r="178" spans="1:6" x14ac:dyDescent="0.25">
      <c r="A178" s="13"/>
      <c r="B178" s="13"/>
      <c r="C178" s="13"/>
      <c r="D178" s="13"/>
      <c r="E178" s="6" t="str">
        <f>IFERROR(INDEX(Config_Puntos!$B$2:$B$18,MATCH(D178,Config_Puntos!$A$2:$A$18,0)),"")</f>
        <v/>
      </c>
      <c r="F178" s="13"/>
    </row>
    <row r="179" spans="1:6" x14ac:dyDescent="0.25">
      <c r="A179" s="13"/>
      <c r="B179" s="13"/>
      <c r="C179" s="13"/>
      <c r="D179" s="13"/>
      <c r="E179" s="6" t="str">
        <f>IFERROR(INDEX(Config_Puntos!$B$2:$B$18,MATCH(D179,Config_Puntos!$A$2:$A$18,0)),"")</f>
        <v/>
      </c>
      <c r="F179" s="13"/>
    </row>
    <row r="180" spans="1:6" x14ac:dyDescent="0.25">
      <c r="A180" s="13"/>
      <c r="B180" s="13"/>
      <c r="C180" s="13"/>
      <c r="D180" s="13"/>
      <c r="E180" s="6" t="str">
        <f>IFERROR(INDEX(Config_Puntos!$B$2:$B$18,MATCH(D180,Config_Puntos!$A$2:$A$18,0)),"")</f>
        <v/>
      </c>
      <c r="F180" s="13"/>
    </row>
    <row r="181" spans="1:6" x14ac:dyDescent="0.25">
      <c r="A181" s="13"/>
      <c r="B181" s="13"/>
      <c r="C181" s="13"/>
      <c r="D181" s="13"/>
      <c r="E181" s="6" t="str">
        <f>IFERROR(INDEX(Config_Puntos!$B$2:$B$18,MATCH(D181,Config_Puntos!$A$2:$A$18,0)),"")</f>
        <v/>
      </c>
      <c r="F181" s="13"/>
    </row>
    <row r="182" spans="1:6" x14ac:dyDescent="0.25">
      <c r="A182" s="13"/>
      <c r="B182" s="13"/>
      <c r="C182" s="13"/>
      <c r="D182" s="13"/>
      <c r="E182" s="6" t="str">
        <f>IFERROR(INDEX(Config_Puntos!$B$2:$B$18,MATCH(D182,Config_Puntos!$A$2:$A$18,0)),"")</f>
        <v/>
      </c>
      <c r="F182" s="13"/>
    </row>
    <row r="183" spans="1:6" x14ac:dyDescent="0.25">
      <c r="A183" s="13"/>
      <c r="B183" s="13"/>
      <c r="C183" s="13"/>
      <c r="D183" s="13"/>
      <c r="E183" s="6" t="str">
        <f>IFERROR(INDEX(Config_Puntos!$B$2:$B$18,MATCH(D183,Config_Puntos!$A$2:$A$18,0)),"")</f>
        <v/>
      </c>
      <c r="F183" s="13"/>
    </row>
    <row r="184" spans="1:6" x14ac:dyDescent="0.25">
      <c r="A184" s="13"/>
      <c r="B184" s="13"/>
      <c r="C184" s="13"/>
      <c r="D184" s="13"/>
      <c r="E184" s="6" t="str">
        <f>IFERROR(INDEX(Config_Puntos!$B$2:$B$18,MATCH(D184,Config_Puntos!$A$2:$A$18,0)),"")</f>
        <v/>
      </c>
      <c r="F184" s="13"/>
    </row>
    <row r="185" spans="1:6" x14ac:dyDescent="0.25">
      <c r="A185" s="13"/>
      <c r="B185" s="13"/>
      <c r="C185" s="13"/>
      <c r="D185" s="13"/>
      <c r="E185" s="6" t="str">
        <f>IFERROR(INDEX(Config_Puntos!$B$2:$B$18,MATCH(D185,Config_Puntos!$A$2:$A$18,0)),"")</f>
        <v/>
      </c>
      <c r="F185" s="13"/>
    </row>
    <row r="186" spans="1:6" x14ac:dyDescent="0.25">
      <c r="A186" s="13"/>
      <c r="B186" s="13"/>
      <c r="C186" s="13"/>
      <c r="D186" s="13"/>
      <c r="E186" s="6" t="str">
        <f>IFERROR(INDEX(Config_Puntos!$B$2:$B$18,MATCH(D186,Config_Puntos!$A$2:$A$18,0)),"")</f>
        <v/>
      </c>
      <c r="F186" s="13"/>
    </row>
    <row r="187" spans="1:6" x14ac:dyDescent="0.25">
      <c r="A187" s="13"/>
      <c r="B187" s="13"/>
      <c r="C187" s="13"/>
      <c r="D187" s="13"/>
      <c r="E187" s="6" t="str">
        <f>IFERROR(INDEX(Config_Puntos!$B$2:$B$18,MATCH(D187,Config_Puntos!$A$2:$A$18,0)),"")</f>
        <v/>
      </c>
      <c r="F187" s="13"/>
    </row>
    <row r="188" spans="1:6" x14ac:dyDescent="0.25">
      <c r="A188" s="13"/>
      <c r="B188" s="13"/>
      <c r="C188" s="13"/>
      <c r="D188" s="13"/>
      <c r="E188" s="6" t="str">
        <f>IFERROR(INDEX(Config_Puntos!$B$2:$B$18,MATCH(D188,Config_Puntos!$A$2:$A$18,0)),"")</f>
        <v/>
      </c>
      <c r="F188" s="13"/>
    </row>
    <row r="189" spans="1:6" x14ac:dyDescent="0.25">
      <c r="A189" s="13"/>
      <c r="B189" s="13"/>
      <c r="C189" s="13"/>
      <c r="D189" s="13"/>
      <c r="E189" s="6" t="str">
        <f>IFERROR(INDEX(Config_Puntos!$B$2:$B$18,MATCH(D189,Config_Puntos!$A$2:$A$18,0)),"")</f>
        <v/>
      </c>
      <c r="F189" s="13"/>
    </row>
    <row r="190" spans="1:6" x14ac:dyDescent="0.25">
      <c r="A190" s="13"/>
      <c r="B190" s="13"/>
      <c r="C190" s="13"/>
      <c r="D190" s="13"/>
      <c r="E190" s="6" t="str">
        <f>IFERROR(INDEX(Config_Puntos!$B$2:$B$18,MATCH(D190,Config_Puntos!$A$2:$A$18,0)),"")</f>
        <v/>
      </c>
      <c r="F190" s="13"/>
    </row>
    <row r="191" spans="1:6" x14ac:dyDescent="0.25">
      <c r="A191" s="13"/>
      <c r="B191" s="13"/>
      <c r="C191" s="13"/>
      <c r="D191" s="13"/>
      <c r="E191" s="6" t="str">
        <f>IFERROR(INDEX(Config_Puntos!$B$2:$B$18,MATCH(D191,Config_Puntos!$A$2:$A$18,0)),"")</f>
        <v/>
      </c>
      <c r="F191" s="13"/>
    </row>
    <row r="192" spans="1:6" x14ac:dyDescent="0.25">
      <c r="A192" s="13"/>
      <c r="B192" s="13"/>
      <c r="C192" s="13"/>
      <c r="D192" s="13"/>
      <c r="E192" s="6" t="str">
        <f>IFERROR(INDEX(Config_Puntos!$B$2:$B$18,MATCH(D192,Config_Puntos!$A$2:$A$18,0)),"")</f>
        <v/>
      </c>
      <c r="F192" s="13"/>
    </row>
    <row r="193" spans="1:6" x14ac:dyDescent="0.25">
      <c r="A193" s="13"/>
      <c r="B193" s="13"/>
      <c r="C193" s="13"/>
      <c r="D193" s="13"/>
      <c r="E193" s="6" t="str">
        <f>IFERROR(INDEX(Config_Puntos!$B$2:$B$18,MATCH(D193,Config_Puntos!$A$2:$A$18,0)),"")</f>
        <v/>
      </c>
      <c r="F193" s="13"/>
    </row>
    <row r="194" spans="1:6" x14ac:dyDescent="0.25">
      <c r="A194" s="13"/>
      <c r="B194" s="13"/>
      <c r="C194" s="13"/>
      <c r="D194" s="13"/>
      <c r="E194" s="6" t="str">
        <f>IFERROR(INDEX(Config_Puntos!$B$2:$B$18,MATCH(D194,Config_Puntos!$A$2:$A$18,0)),"")</f>
        <v/>
      </c>
      <c r="F194" s="13"/>
    </row>
    <row r="195" spans="1:6" x14ac:dyDescent="0.25">
      <c r="A195" s="13"/>
      <c r="B195" s="13"/>
      <c r="C195" s="13"/>
      <c r="D195" s="13"/>
      <c r="E195" s="6" t="str">
        <f>IFERROR(INDEX(Config_Puntos!$B$2:$B$18,MATCH(D195,Config_Puntos!$A$2:$A$18,0)),"")</f>
        <v/>
      </c>
      <c r="F195" s="13"/>
    </row>
    <row r="196" spans="1:6" x14ac:dyDescent="0.25">
      <c r="A196" s="13"/>
      <c r="B196" s="13"/>
      <c r="C196" s="13"/>
      <c r="D196" s="13"/>
      <c r="E196" s="6" t="str">
        <f>IFERROR(INDEX(Config_Puntos!$B$2:$B$18,MATCH(D196,Config_Puntos!$A$2:$A$18,0)),"")</f>
        <v/>
      </c>
      <c r="F196" s="13"/>
    </row>
    <row r="197" spans="1:6" x14ac:dyDescent="0.25">
      <c r="A197" s="13"/>
      <c r="B197" s="13"/>
      <c r="C197" s="13"/>
      <c r="D197" s="13"/>
      <c r="E197" s="6" t="str">
        <f>IFERROR(INDEX(Config_Puntos!$B$2:$B$18,MATCH(D197,Config_Puntos!$A$2:$A$18,0)),"")</f>
        <v/>
      </c>
      <c r="F197" s="13"/>
    </row>
    <row r="198" spans="1:6" x14ac:dyDescent="0.25">
      <c r="A198" s="13"/>
      <c r="B198" s="13"/>
      <c r="C198" s="13"/>
      <c r="D198" s="13"/>
      <c r="E198" s="6" t="str">
        <f>IFERROR(INDEX(Config_Puntos!$B$2:$B$18,MATCH(D198,Config_Puntos!$A$2:$A$18,0)),"")</f>
        <v/>
      </c>
      <c r="F198" s="13"/>
    </row>
    <row r="199" spans="1:6" x14ac:dyDescent="0.25">
      <c r="A199" s="13"/>
      <c r="B199" s="13"/>
      <c r="C199" s="13"/>
      <c r="D199" s="13"/>
      <c r="E199" s="6" t="str">
        <f>IFERROR(INDEX(Config_Puntos!$B$2:$B$18,MATCH(D199,Config_Puntos!$A$2:$A$18,0)),"")</f>
        <v/>
      </c>
      <c r="F199" s="13"/>
    </row>
    <row r="200" spans="1:6" x14ac:dyDescent="0.25">
      <c r="A200" s="13"/>
      <c r="B200" s="13"/>
      <c r="C200" s="13"/>
      <c r="D200" s="13"/>
      <c r="E200" s="6" t="str">
        <f>IFERROR(INDEX(Config_Puntos!$B$2:$B$18,MATCH(D200,Config_Puntos!$A$2:$A$18,0)),"")</f>
        <v/>
      </c>
      <c r="F200" s="13"/>
    </row>
    <row r="201" spans="1:6" x14ac:dyDescent="0.25">
      <c r="A201" s="13"/>
      <c r="B201" s="13"/>
      <c r="C201" s="13"/>
      <c r="D201" s="13"/>
      <c r="E201" s="6" t="str">
        <f>IFERROR(INDEX(Config_Puntos!$B$2:$B$18,MATCH(D201,Config_Puntos!$A$2:$A$18,0)),"")</f>
        <v/>
      </c>
      <c r="F201" s="13"/>
    </row>
    <row r="202" spans="1:6" x14ac:dyDescent="0.25">
      <c r="A202" s="13"/>
      <c r="B202" s="13"/>
      <c r="C202" s="13"/>
      <c r="D202" s="13"/>
      <c r="E202" s="6" t="str">
        <f>IFERROR(INDEX(Config_Puntos!$B$2:$B$18,MATCH(D202,Config_Puntos!$A$2:$A$18,0)),"")</f>
        <v/>
      </c>
      <c r="F202" s="13"/>
    </row>
    <row r="203" spans="1:6" x14ac:dyDescent="0.25">
      <c r="A203" s="13"/>
      <c r="B203" s="13"/>
      <c r="C203" s="13"/>
      <c r="D203" s="13"/>
      <c r="E203" s="6" t="str">
        <f>IFERROR(INDEX(Config_Puntos!$B$2:$B$18,MATCH(D203,Config_Puntos!$A$2:$A$18,0)),"")</f>
        <v/>
      </c>
      <c r="F203" s="13"/>
    </row>
    <row r="204" spans="1:6" x14ac:dyDescent="0.25">
      <c r="A204" s="13"/>
      <c r="B204" s="13"/>
      <c r="C204" s="13"/>
      <c r="D204" s="13"/>
      <c r="E204" s="6" t="str">
        <f>IFERROR(INDEX(Config_Puntos!$B$2:$B$18,MATCH(D204,Config_Puntos!$A$2:$A$18,0)),"")</f>
        <v/>
      </c>
      <c r="F204" s="13"/>
    </row>
    <row r="205" spans="1:6" x14ac:dyDescent="0.25">
      <c r="A205" s="13"/>
      <c r="B205" s="13"/>
      <c r="C205" s="13"/>
      <c r="D205" s="13"/>
      <c r="E205" s="6" t="str">
        <f>IFERROR(INDEX(Config_Puntos!$B$2:$B$18,MATCH(D205,Config_Puntos!$A$2:$A$18,0)),"")</f>
        <v/>
      </c>
      <c r="F205" s="13"/>
    </row>
    <row r="206" spans="1:6" x14ac:dyDescent="0.25">
      <c r="A206" s="13"/>
      <c r="B206" s="13"/>
      <c r="C206" s="13"/>
      <c r="D206" s="13"/>
      <c r="E206" s="6" t="str">
        <f>IFERROR(INDEX(Config_Puntos!$B$2:$B$18,MATCH(D206,Config_Puntos!$A$2:$A$18,0)),"")</f>
        <v/>
      </c>
      <c r="F206" s="13"/>
    </row>
    <row r="207" spans="1:6" x14ac:dyDescent="0.25">
      <c r="A207" s="13"/>
      <c r="B207" s="13"/>
      <c r="C207" s="13"/>
      <c r="D207" s="13"/>
      <c r="E207" s="6" t="str">
        <f>IFERROR(INDEX(Config_Puntos!$B$2:$B$18,MATCH(D207,Config_Puntos!$A$2:$A$18,0)),"")</f>
        <v/>
      </c>
      <c r="F207" s="13"/>
    </row>
    <row r="208" spans="1:6" x14ac:dyDescent="0.25">
      <c r="A208" s="13"/>
      <c r="B208" s="13"/>
      <c r="C208" s="13"/>
      <c r="D208" s="13"/>
      <c r="E208" s="6" t="str">
        <f>IFERROR(INDEX(Config_Puntos!$B$2:$B$18,MATCH(D208,Config_Puntos!$A$2:$A$18,0)),"")</f>
        <v/>
      </c>
      <c r="F208" s="13"/>
    </row>
    <row r="209" spans="1:6" x14ac:dyDescent="0.25">
      <c r="A209" s="13"/>
      <c r="B209" s="13"/>
      <c r="C209" s="13"/>
      <c r="D209" s="13"/>
      <c r="E209" s="6" t="str">
        <f>IFERROR(INDEX(Config_Puntos!$B$2:$B$18,MATCH(D209,Config_Puntos!$A$2:$A$18,0)),"")</f>
        <v/>
      </c>
      <c r="F209" s="13"/>
    </row>
    <row r="210" spans="1:6" x14ac:dyDescent="0.25">
      <c r="A210" s="13"/>
      <c r="B210" s="13"/>
      <c r="C210" s="13"/>
      <c r="D210" s="13"/>
      <c r="E210" s="6" t="str">
        <f>IFERROR(INDEX(Config_Puntos!$B$2:$B$18,MATCH(D210,Config_Puntos!$A$2:$A$18,0)),"")</f>
        <v/>
      </c>
      <c r="F210" s="13"/>
    </row>
    <row r="211" spans="1:6" x14ac:dyDescent="0.25">
      <c r="A211" s="13"/>
      <c r="B211" s="13"/>
      <c r="C211" s="13"/>
      <c r="D211" s="13"/>
      <c r="E211" s="6" t="str">
        <f>IFERROR(INDEX(Config_Puntos!$B$2:$B$18,MATCH(D211,Config_Puntos!$A$2:$A$18,0)),"")</f>
        <v/>
      </c>
      <c r="F211" s="13"/>
    </row>
    <row r="212" spans="1:6" x14ac:dyDescent="0.25">
      <c r="A212" s="13"/>
      <c r="B212" s="13"/>
      <c r="C212" s="13"/>
      <c r="D212" s="13"/>
      <c r="E212" s="6" t="str">
        <f>IFERROR(INDEX(Config_Puntos!$B$2:$B$18,MATCH(D212,Config_Puntos!$A$2:$A$18,0)),"")</f>
        <v/>
      </c>
      <c r="F212" s="13"/>
    </row>
    <row r="213" spans="1:6" x14ac:dyDescent="0.25">
      <c r="A213" s="13"/>
      <c r="B213" s="13"/>
      <c r="C213" s="13"/>
      <c r="D213" s="13"/>
      <c r="E213" s="6" t="str">
        <f>IFERROR(INDEX(Config_Puntos!$B$2:$B$18,MATCH(D213,Config_Puntos!$A$2:$A$18,0)),"")</f>
        <v/>
      </c>
      <c r="F213" s="13"/>
    </row>
    <row r="214" spans="1:6" x14ac:dyDescent="0.25">
      <c r="A214" s="13"/>
      <c r="B214" s="13"/>
      <c r="C214" s="13"/>
      <c r="D214" s="13"/>
      <c r="E214" s="6" t="str">
        <f>IFERROR(INDEX(Config_Puntos!$B$2:$B$18,MATCH(D214,Config_Puntos!$A$2:$A$18,0)),"")</f>
        <v/>
      </c>
      <c r="F214" s="13"/>
    </row>
    <row r="215" spans="1:6" x14ac:dyDescent="0.25">
      <c r="A215" s="13"/>
      <c r="B215" s="13"/>
      <c r="C215" s="13"/>
      <c r="D215" s="13"/>
      <c r="E215" s="6" t="str">
        <f>IFERROR(INDEX(Config_Puntos!$B$2:$B$18,MATCH(D215,Config_Puntos!$A$2:$A$18,0)),"")</f>
        <v/>
      </c>
      <c r="F215" s="13"/>
    </row>
    <row r="216" spans="1:6" x14ac:dyDescent="0.25">
      <c r="A216" s="13"/>
      <c r="B216" s="13"/>
      <c r="C216" s="13"/>
      <c r="D216" s="13"/>
      <c r="E216" s="6" t="str">
        <f>IFERROR(INDEX(Config_Puntos!$B$2:$B$18,MATCH(D216,Config_Puntos!$A$2:$A$18,0)),"")</f>
        <v/>
      </c>
      <c r="F216" s="13"/>
    </row>
    <row r="217" spans="1:6" x14ac:dyDescent="0.25">
      <c r="A217" s="13"/>
      <c r="B217" s="13"/>
      <c r="C217" s="13"/>
      <c r="D217" s="13"/>
      <c r="E217" s="6" t="str">
        <f>IFERROR(INDEX(Config_Puntos!$B$2:$B$18,MATCH(D217,Config_Puntos!$A$2:$A$18,0)),"")</f>
        <v/>
      </c>
      <c r="F217" s="13"/>
    </row>
    <row r="218" spans="1:6" x14ac:dyDescent="0.25">
      <c r="A218" s="13"/>
      <c r="B218" s="13"/>
      <c r="C218" s="13"/>
      <c r="D218" s="13"/>
      <c r="E218" s="6" t="str">
        <f>IFERROR(INDEX(Config_Puntos!$B$2:$B$18,MATCH(D218,Config_Puntos!$A$2:$A$18,0)),"")</f>
        <v/>
      </c>
      <c r="F218" s="13"/>
    </row>
    <row r="219" spans="1:6" x14ac:dyDescent="0.25">
      <c r="A219" s="13"/>
      <c r="B219" s="13"/>
      <c r="C219" s="13"/>
      <c r="D219" s="13"/>
      <c r="E219" s="6" t="str">
        <f>IFERROR(INDEX(Config_Puntos!$B$2:$B$18,MATCH(D219,Config_Puntos!$A$2:$A$18,0)),"")</f>
        <v/>
      </c>
      <c r="F219" s="13"/>
    </row>
    <row r="220" spans="1:6" x14ac:dyDescent="0.25">
      <c r="A220" s="13"/>
      <c r="B220" s="13"/>
      <c r="C220" s="13"/>
      <c r="D220" s="13"/>
      <c r="E220" s="6" t="str">
        <f>IFERROR(INDEX(Config_Puntos!$B$2:$B$18,MATCH(D220,Config_Puntos!$A$2:$A$18,0)),"")</f>
        <v/>
      </c>
      <c r="F220" s="13"/>
    </row>
    <row r="221" spans="1:6" x14ac:dyDescent="0.25">
      <c r="A221" s="13"/>
      <c r="B221" s="13"/>
      <c r="C221" s="13"/>
      <c r="D221" s="13"/>
      <c r="E221" s="6" t="str">
        <f>IFERROR(INDEX(Config_Puntos!$B$2:$B$18,MATCH(D221,Config_Puntos!$A$2:$A$18,0)),"")</f>
        <v/>
      </c>
      <c r="F221" s="13"/>
    </row>
    <row r="222" spans="1:6" x14ac:dyDescent="0.25">
      <c r="A222" s="13"/>
      <c r="B222" s="13"/>
      <c r="C222" s="13"/>
      <c r="D222" s="13"/>
      <c r="E222" s="6" t="str">
        <f>IFERROR(INDEX(Config_Puntos!$B$2:$B$18,MATCH(D222,Config_Puntos!$A$2:$A$18,0)),"")</f>
        <v/>
      </c>
      <c r="F222" s="13"/>
    </row>
    <row r="223" spans="1:6" x14ac:dyDescent="0.25">
      <c r="A223" s="13"/>
      <c r="B223" s="13"/>
      <c r="C223" s="13"/>
      <c r="D223" s="13"/>
      <c r="E223" s="6" t="str">
        <f>IFERROR(INDEX(Config_Puntos!$B$2:$B$18,MATCH(D223,Config_Puntos!$A$2:$A$18,0)),"")</f>
        <v/>
      </c>
      <c r="F223" s="13"/>
    </row>
    <row r="224" spans="1:6" x14ac:dyDescent="0.25">
      <c r="A224" s="13"/>
      <c r="B224" s="13"/>
      <c r="C224" s="13"/>
      <c r="D224" s="13"/>
      <c r="E224" s="6" t="str">
        <f>IFERROR(INDEX(Config_Puntos!$B$2:$B$18,MATCH(D224,Config_Puntos!$A$2:$A$18,0)),"")</f>
        <v/>
      </c>
      <c r="F224" s="13"/>
    </row>
    <row r="225" spans="1:6" x14ac:dyDescent="0.25">
      <c r="A225" s="13"/>
      <c r="B225" s="13"/>
      <c r="C225" s="13"/>
      <c r="D225" s="13"/>
      <c r="E225" s="6" t="str">
        <f>IFERROR(INDEX(Config_Puntos!$B$2:$B$18,MATCH(D225,Config_Puntos!$A$2:$A$18,0)),"")</f>
        <v/>
      </c>
      <c r="F225" s="13"/>
    </row>
    <row r="226" spans="1:6" x14ac:dyDescent="0.25">
      <c r="A226" s="13"/>
      <c r="B226" s="13"/>
      <c r="C226" s="13"/>
      <c r="D226" s="13"/>
      <c r="E226" s="6" t="str">
        <f>IFERROR(INDEX(Config_Puntos!$B$2:$B$18,MATCH(D226,Config_Puntos!$A$2:$A$18,0)),"")</f>
        <v/>
      </c>
      <c r="F226" s="13"/>
    </row>
    <row r="227" spans="1:6" x14ac:dyDescent="0.25">
      <c r="A227" s="13"/>
      <c r="B227" s="13"/>
      <c r="C227" s="13"/>
      <c r="D227" s="13"/>
      <c r="E227" s="6" t="str">
        <f>IFERROR(INDEX(Config_Puntos!$B$2:$B$18,MATCH(D227,Config_Puntos!$A$2:$A$18,0)),"")</f>
        <v/>
      </c>
      <c r="F227" s="13"/>
    </row>
    <row r="228" spans="1:6" x14ac:dyDescent="0.25">
      <c r="A228" s="13"/>
      <c r="B228" s="13"/>
      <c r="C228" s="13"/>
      <c r="D228" s="13"/>
      <c r="E228" s="6" t="str">
        <f>IFERROR(INDEX(Config_Puntos!$B$2:$B$18,MATCH(D228,Config_Puntos!$A$2:$A$18,0)),"")</f>
        <v/>
      </c>
      <c r="F228" s="13"/>
    </row>
    <row r="229" spans="1:6" x14ac:dyDescent="0.25">
      <c r="A229" s="13"/>
      <c r="B229" s="13"/>
      <c r="C229" s="13"/>
      <c r="D229" s="13"/>
      <c r="E229" s="6" t="str">
        <f>IFERROR(INDEX(Config_Puntos!$B$2:$B$18,MATCH(D229,Config_Puntos!$A$2:$A$18,0)),"")</f>
        <v/>
      </c>
      <c r="F229" s="13"/>
    </row>
    <row r="230" spans="1:6" x14ac:dyDescent="0.25">
      <c r="A230" s="13"/>
      <c r="B230" s="13"/>
      <c r="C230" s="13"/>
      <c r="D230" s="13"/>
      <c r="E230" s="6" t="str">
        <f>IFERROR(INDEX(Config_Puntos!$B$2:$B$18,MATCH(D230,Config_Puntos!$A$2:$A$18,0)),"")</f>
        <v/>
      </c>
      <c r="F230" s="13"/>
    </row>
    <row r="231" spans="1:6" x14ac:dyDescent="0.25">
      <c r="A231" s="13"/>
      <c r="B231" s="13"/>
      <c r="C231" s="13"/>
      <c r="D231" s="13"/>
      <c r="E231" s="6" t="str">
        <f>IFERROR(INDEX(Config_Puntos!$B$2:$B$18,MATCH(D231,Config_Puntos!$A$2:$A$18,0)),"")</f>
        <v/>
      </c>
      <c r="F231" s="13"/>
    </row>
    <row r="232" spans="1:6" x14ac:dyDescent="0.25">
      <c r="A232" s="13"/>
      <c r="B232" s="13"/>
      <c r="C232" s="13"/>
      <c r="D232" s="13"/>
      <c r="E232" s="6" t="str">
        <f>IFERROR(INDEX(Config_Puntos!$B$2:$B$18,MATCH(D232,Config_Puntos!$A$2:$A$18,0)),"")</f>
        <v/>
      </c>
      <c r="F232" s="13"/>
    </row>
    <row r="233" spans="1:6" x14ac:dyDescent="0.25">
      <c r="A233" s="13"/>
      <c r="B233" s="13"/>
      <c r="C233" s="13"/>
      <c r="D233" s="13"/>
      <c r="E233" s="6" t="str">
        <f>IFERROR(INDEX(Config_Puntos!$B$2:$B$18,MATCH(D233,Config_Puntos!$A$2:$A$18,0)),"")</f>
        <v/>
      </c>
      <c r="F233" s="13"/>
    </row>
    <row r="234" spans="1:6" x14ac:dyDescent="0.25">
      <c r="A234" s="13"/>
      <c r="B234" s="13"/>
      <c r="C234" s="13"/>
      <c r="D234" s="13"/>
      <c r="E234" s="6" t="str">
        <f>IFERROR(INDEX(Config_Puntos!$B$2:$B$18,MATCH(D234,Config_Puntos!$A$2:$A$18,0)),"")</f>
        <v/>
      </c>
      <c r="F234" s="13"/>
    </row>
    <row r="235" spans="1:6" x14ac:dyDescent="0.25">
      <c r="A235" s="13"/>
      <c r="B235" s="13"/>
      <c r="C235" s="13"/>
      <c r="D235" s="13"/>
      <c r="E235" s="6" t="str">
        <f>IFERROR(INDEX(Config_Puntos!$B$2:$B$18,MATCH(D235,Config_Puntos!$A$2:$A$18,0)),"")</f>
        <v/>
      </c>
      <c r="F235" s="13"/>
    </row>
    <row r="236" spans="1:6" x14ac:dyDescent="0.25">
      <c r="A236" s="13"/>
      <c r="B236" s="13"/>
      <c r="C236" s="13"/>
      <c r="D236" s="13"/>
      <c r="E236" s="6" t="str">
        <f>IFERROR(INDEX(Config_Puntos!$B$2:$B$18,MATCH(D236,Config_Puntos!$A$2:$A$18,0)),"")</f>
        <v/>
      </c>
      <c r="F236" s="13"/>
    </row>
    <row r="237" spans="1:6" x14ac:dyDescent="0.25">
      <c r="A237" s="13"/>
      <c r="B237" s="13"/>
      <c r="C237" s="13"/>
      <c r="D237" s="13"/>
      <c r="E237" s="6" t="str">
        <f>IFERROR(INDEX(Config_Puntos!$B$2:$B$18,MATCH(D237,Config_Puntos!$A$2:$A$18,0)),"")</f>
        <v/>
      </c>
      <c r="F237" s="13"/>
    </row>
    <row r="238" spans="1:6" x14ac:dyDescent="0.25">
      <c r="A238" s="13"/>
      <c r="B238" s="13"/>
      <c r="C238" s="13"/>
      <c r="D238" s="13"/>
      <c r="E238" s="6" t="str">
        <f>IFERROR(INDEX(Config_Puntos!$B$2:$B$18,MATCH(D238,Config_Puntos!$A$2:$A$18,0)),"")</f>
        <v/>
      </c>
      <c r="F238" s="13"/>
    </row>
    <row r="239" spans="1:6" x14ac:dyDescent="0.25">
      <c r="A239" s="13"/>
      <c r="B239" s="13"/>
      <c r="C239" s="13"/>
      <c r="D239" s="13"/>
      <c r="E239" s="6" t="str">
        <f>IFERROR(INDEX(Config_Puntos!$B$2:$B$18,MATCH(D239,Config_Puntos!$A$2:$A$18,0)),"")</f>
        <v/>
      </c>
      <c r="F239" s="13"/>
    </row>
    <row r="240" spans="1:6" x14ac:dyDescent="0.25">
      <c r="A240" s="13"/>
      <c r="B240" s="13"/>
      <c r="C240" s="13"/>
      <c r="D240" s="13"/>
      <c r="E240" s="6" t="str">
        <f>IFERROR(INDEX(Config_Puntos!$B$2:$B$18,MATCH(D240,Config_Puntos!$A$2:$A$18,0)),"")</f>
        <v/>
      </c>
      <c r="F240" s="13"/>
    </row>
    <row r="241" spans="1:6" x14ac:dyDescent="0.25">
      <c r="A241" s="13"/>
      <c r="B241" s="13"/>
      <c r="C241" s="13"/>
      <c r="D241" s="13"/>
      <c r="E241" s="6" t="str">
        <f>IFERROR(INDEX(Config_Puntos!$B$2:$B$18,MATCH(D241,Config_Puntos!$A$2:$A$18,0)),"")</f>
        <v/>
      </c>
      <c r="F241" s="13"/>
    </row>
    <row r="242" spans="1:6" x14ac:dyDescent="0.25">
      <c r="A242" s="13"/>
      <c r="B242" s="13"/>
      <c r="C242" s="13"/>
      <c r="D242" s="13"/>
      <c r="E242" s="6" t="str">
        <f>IFERROR(INDEX(Config_Puntos!$B$2:$B$18,MATCH(D242,Config_Puntos!$A$2:$A$18,0)),"")</f>
        <v/>
      </c>
      <c r="F242" s="13"/>
    </row>
    <row r="243" spans="1:6" x14ac:dyDescent="0.25">
      <c r="A243" s="13"/>
      <c r="B243" s="13"/>
      <c r="C243" s="13"/>
      <c r="D243" s="13"/>
      <c r="E243" s="6" t="str">
        <f>IFERROR(INDEX(Config_Puntos!$B$2:$B$18,MATCH(D243,Config_Puntos!$A$2:$A$18,0)),"")</f>
        <v/>
      </c>
      <c r="F243" s="13"/>
    </row>
    <row r="244" spans="1:6" x14ac:dyDescent="0.25">
      <c r="A244" s="13"/>
      <c r="B244" s="13"/>
      <c r="C244" s="13"/>
      <c r="D244" s="13"/>
      <c r="E244" s="6" t="str">
        <f>IFERROR(INDEX(Config_Puntos!$B$2:$B$18,MATCH(D244,Config_Puntos!$A$2:$A$18,0)),"")</f>
        <v/>
      </c>
      <c r="F244" s="13"/>
    </row>
    <row r="245" spans="1:6" x14ac:dyDescent="0.25">
      <c r="A245" s="13"/>
      <c r="B245" s="13"/>
      <c r="C245" s="13"/>
      <c r="D245" s="13"/>
      <c r="E245" s="6" t="str">
        <f>IFERROR(INDEX(Config_Puntos!$B$2:$B$18,MATCH(D245,Config_Puntos!$A$2:$A$18,0)),"")</f>
        <v/>
      </c>
      <c r="F245" s="13"/>
    </row>
    <row r="246" spans="1:6" x14ac:dyDescent="0.25">
      <c r="A246" s="13"/>
      <c r="B246" s="13"/>
      <c r="C246" s="13"/>
      <c r="D246" s="13"/>
      <c r="E246" s="6" t="str">
        <f>IFERROR(INDEX(Config_Puntos!$B$2:$B$18,MATCH(D246,Config_Puntos!$A$2:$A$18,0)),"")</f>
        <v/>
      </c>
      <c r="F246" s="13"/>
    </row>
    <row r="247" spans="1:6" x14ac:dyDescent="0.25">
      <c r="A247" s="13"/>
      <c r="B247" s="13"/>
      <c r="C247" s="13"/>
      <c r="D247" s="13"/>
      <c r="E247" s="6" t="str">
        <f>IFERROR(INDEX(Config_Puntos!$B$2:$B$18,MATCH(D247,Config_Puntos!$A$2:$A$18,0)),"")</f>
        <v/>
      </c>
      <c r="F247" s="13"/>
    </row>
    <row r="248" spans="1:6" x14ac:dyDescent="0.25">
      <c r="A248" s="13"/>
      <c r="B248" s="13"/>
      <c r="C248" s="13"/>
      <c r="D248" s="13"/>
      <c r="E248" s="6" t="str">
        <f>IFERROR(INDEX(Config_Puntos!$B$2:$B$18,MATCH(D248,Config_Puntos!$A$2:$A$18,0)),"")</f>
        <v/>
      </c>
      <c r="F248" s="13"/>
    </row>
    <row r="249" spans="1:6" x14ac:dyDescent="0.25">
      <c r="A249" s="13"/>
      <c r="B249" s="13"/>
      <c r="C249" s="13"/>
      <c r="D249" s="13"/>
      <c r="E249" s="6" t="str">
        <f>IFERROR(INDEX(Config_Puntos!$B$2:$B$18,MATCH(D249,Config_Puntos!$A$2:$A$18,0)),"")</f>
        <v/>
      </c>
      <c r="F249" s="13"/>
    </row>
    <row r="250" spans="1:6" x14ac:dyDescent="0.25">
      <c r="A250" s="13"/>
      <c r="B250" s="13"/>
      <c r="C250" s="13"/>
      <c r="D250" s="13"/>
      <c r="E250" s="6" t="str">
        <f>IFERROR(INDEX(Config_Puntos!$B$2:$B$18,MATCH(D250,Config_Puntos!$A$2:$A$18,0)),"")</f>
        <v/>
      </c>
      <c r="F250" s="13"/>
    </row>
    <row r="251" spans="1:6" x14ac:dyDescent="0.25">
      <c r="A251" s="13"/>
      <c r="B251" s="13"/>
      <c r="C251" s="13"/>
      <c r="D251" s="13"/>
      <c r="E251" s="6" t="str">
        <f>IFERROR(INDEX(Config_Puntos!$B$2:$B$18,MATCH(D251,Config_Puntos!$A$2:$A$18,0)),"")</f>
        <v/>
      </c>
      <c r="F251" s="13"/>
    </row>
    <row r="252" spans="1:6" x14ac:dyDescent="0.25">
      <c r="A252" s="13"/>
      <c r="B252" s="13"/>
      <c r="C252" s="13"/>
      <c r="D252" s="13"/>
      <c r="E252" s="6" t="str">
        <f>IFERROR(INDEX(Config_Puntos!$B$2:$B$18,MATCH(D252,Config_Puntos!$A$2:$A$18,0)),"")</f>
        <v/>
      </c>
      <c r="F252" s="13"/>
    </row>
    <row r="253" spans="1:6" x14ac:dyDescent="0.25">
      <c r="A253" s="13"/>
      <c r="B253" s="13"/>
      <c r="C253" s="13"/>
      <c r="D253" s="13"/>
      <c r="E253" s="6" t="str">
        <f>IFERROR(INDEX(Config_Puntos!$B$2:$B$18,MATCH(D253,Config_Puntos!$A$2:$A$18,0)),"")</f>
        <v/>
      </c>
      <c r="F253" s="13"/>
    </row>
    <row r="254" spans="1:6" x14ac:dyDescent="0.25">
      <c r="A254" s="13"/>
      <c r="B254" s="13"/>
      <c r="C254" s="13"/>
      <c r="D254" s="13"/>
      <c r="E254" s="6" t="str">
        <f>IFERROR(INDEX(Config_Puntos!$B$2:$B$18,MATCH(D254,Config_Puntos!$A$2:$A$18,0)),"")</f>
        <v/>
      </c>
      <c r="F254" s="13"/>
    </row>
    <row r="255" spans="1:6" x14ac:dyDescent="0.25">
      <c r="A255" s="13"/>
      <c r="B255" s="13"/>
      <c r="C255" s="13"/>
      <c r="D255" s="13"/>
      <c r="E255" s="6" t="str">
        <f>IFERROR(INDEX(Config_Puntos!$B$2:$B$18,MATCH(D255,Config_Puntos!$A$2:$A$18,0)),"")</f>
        <v/>
      </c>
      <c r="F255" s="13"/>
    </row>
    <row r="256" spans="1:6" x14ac:dyDescent="0.25">
      <c r="A256" s="13"/>
      <c r="B256" s="13"/>
      <c r="C256" s="13"/>
      <c r="D256" s="13"/>
      <c r="E256" s="6" t="str">
        <f>IFERROR(INDEX(Config_Puntos!$B$2:$B$18,MATCH(D256,Config_Puntos!$A$2:$A$18,0)),"")</f>
        <v/>
      </c>
      <c r="F256" s="13"/>
    </row>
    <row r="257" spans="1:6" x14ac:dyDescent="0.25">
      <c r="A257" s="13"/>
      <c r="B257" s="13"/>
      <c r="C257" s="13"/>
      <c r="D257" s="13"/>
      <c r="E257" s="6" t="str">
        <f>IFERROR(INDEX(Config_Puntos!$B$2:$B$18,MATCH(D257,Config_Puntos!$A$2:$A$18,0)),"")</f>
        <v/>
      </c>
      <c r="F257" s="13"/>
    </row>
    <row r="258" spans="1:6" x14ac:dyDescent="0.25">
      <c r="A258" s="13"/>
      <c r="B258" s="13"/>
      <c r="C258" s="13"/>
      <c r="D258" s="13"/>
      <c r="E258" s="6" t="str">
        <f>IFERROR(INDEX(Config_Puntos!$B$2:$B$18,MATCH(D258,Config_Puntos!$A$2:$A$18,0)),"")</f>
        <v/>
      </c>
      <c r="F258" s="13"/>
    </row>
    <row r="259" spans="1:6" x14ac:dyDescent="0.25">
      <c r="A259" s="13"/>
      <c r="B259" s="13"/>
      <c r="C259" s="13"/>
      <c r="D259" s="13"/>
      <c r="E259" s="6" t="str">
        <f>IFERROR(INDEX(Config_Puntos!$B$2:$B$18,MATCH(D259,Config_Puntos!$A$2:$A$18,0)),"")</f>
        <v/>
      </c>
      <c r="F259" s="13"/>
    </row>
    <row r="260" spans="1:6" x14ac:dyDescent="0.25">
      <c r="A260" s="13"/>
      <c r="B260" s="13"/>
      <c r="C260" s="13"/>
      <c r="D260" s="13"/>
      <c r="E260" s="6" t="str">
        <f>IFERROR(INDEX(Config_Puntos!$B$2:$B$18,MATCH(D260,Config_Puntos!$A$2:$A$18,0)),"")</f>
        <v/>
      </c>
      <c r="F260" s="13"/>
    </row>
    <row r="261" spans="1:6" x14ac:dyDescent="0.25">
      <c r="A261" s="13"/>
      <c r="B261" s="13"/>
      <c r="C261" s="13"/>
      <c r="D261" s="13"/>
      <c r="E261" s="6" t="str">
        <f>IFERROR(INDEX(Config_Puntos!$B$2:$B$18,MATCH(D261,Config_Puntos!$A$2:$A$18,0)),"")</f>
        <v/>
      </c>
      <c r="F261" s="13"/>
    </row>
    <row r="262" spans="1:6" x14ac:dyDescent="0.25">
      <c r="A262" s="13"/>
      <c r="B262" s="13"/>
      <c r="C262" s="13"/>
      <c r="D262" s="13"/>
      <c r="E262" s="6" t="str">
        <f>IFERROR(INDEX(Config_Puntos!$B$2:$B$18,MATCH(D262,Config_Puntos!$A$2:$A$18,0)),"")</f>
        <v/>
      </c>
      <c r="F262" s="13"/>
    </row>
    <row r="263" spans="1:6" x14ac:dyDescent="0.25">
      <c r="A263" s="13"/>
      <c r="B263" s="13"/>
      <c r="C263" s="13"/>
      <c r="D263" s="13"/>
      <c r="E263" s="6" t="str">
        <f>IFERROR(INDEX(Config_Puntos!$B$2:$B$18,MATCH(D263,Config_Puntos!$A$2:$A$18,0)),"")</f>
        <v/>
      </c>
      <c r="F263" s="13"/>
    </row>
    <row r="264" spans="1:6" x14ac:dyDescent="0.25">
      <c r="A264" s="13"/>
      <c r="B264" s="13"/>
      <c r="C264" s="13"/>
      <c r="D264" s="13"/>
      <c r="E264" s="6" t="str">
        <f>IFERROR(INDEX(Config_Puntos!$B$2:$B$18,MATCH(D264,Config_Puntos!$A$2:$A$18,0)),"")</f>
        <v/>
      </c>
      <c r="F264" s="13"/>
    </row>
    <row r="265" spans="1:6" x14ac:dyDescent="0.25">
      <c r="A265" s="13"/>
      <c r="B265" s="13"/>
      <c r="C265" s="13"/>
      <c r="D265" s="13"/>
      <c r="E265" s="6" t="str">
        <f>IFERROR(INDEX(Config_Puntos!$B$2:$B$18,MATCH(D265,Config_Puntos!$A$2:$A$18,0)),"")</f>
        <v/>
      </c>
      <c r="F265" s="13"/>
    </row>
    <row r="266" spans="1:6" x14ac:dyDescent="0.25">
      <c r="A266" s="13"/>
      <c r="B266" s="13"/>
      <c r="C266" s="13"/>
      <c r="D266" s="13"/>
      <c r="E266" s="6" t="str">
        <f>IFERROR(INDEX(Config_Puntos!$B$2:$B$18,MATCH(D266,Config_Puntos!$A$2:$A$18,0)),"")</f>
        <v/>
      </c>
      <c r="F266" s="13"/>
    </row>
    <row r="267" spans="1:6" x14ac:dyDescent="0.25">
      <c r="A267" s="13"/>
      <c r="B267" s="13"/>
      <c r="C267" s="13"/>
      <c r="D267" s="13"/>
      <c r="E267" s="6" t="str">
        <f>IFERROR(INDEX(Config_Puntos!$B$2:$B$18,MATCH(D267,Config_Puntos!$A$2:$A$18,0)),"")</f>
        <v/>
      </c>
      <c r="F267" s="13"/>
    </row>
    <row r="268" spans="1:6" x14ac:dyDescent="0.25">
      <c r="A268" s="13"/>
      <c r="B268" s="13"/>
      <c r="C268" s="13"/>
      <c r="D268" s="13"/>
      <c r="E268" s="6" t="str">
        <f>IFERROR(INDEX(Config_Puntos!$B$2:$B$18,MATCH(D268,Config_Puntos!$A$2:$A$18,0)),"")</f>
        <v/>
      </c>
      <c r="F268" s="13"/>
    </row>
    <row r="269" spans="1:6" x14ac:dyDescent="0.25">
      <c r="A269" s="13"/>
      <c r="B269" s="13"/>
      <c r="C269" s="13"/>
      <c r="D269" s="13"/>
      <c r="E269" s="6" t="str">
        <f>IFERROR(INDEX(Config_Puntos!$B$2:$B$18,MATCH(D269,Config_Puntos!$A$2:$A$18,0)),"")</f>
        <v/>
      </c>
      <c r="F269" s="13"/>
    </row>
    <row r="270" spans="1:6" x14ac:dyDescent="0.25">
      <c r="A270" s="13"/>
      <c r="B270" s="13"/>
      <c r="C270" s="13"/>
      <c r="D270" s="13"/>
      <c r="E270" s="6" t="str">
        <f>IFERROR(INDEX(Config_Puntos!$B$2:$B$18,MATCH(D270,Config_Puntos!$A$2:$A$18,0)),"")</f>
        <v/>
      </c>
      <c r="F270" s="13"/>
    </row>
    <row r="271" spans="1:6" x14ac:dyDescent="0.25">
      <c r="A271" s="13"/>
      <c r="B271" s="13"/>
      <c r="C271" s="13"/>
      <c r="D271" s="13"/>
      <c r="E271" s="6" t="str">
        <f>IFERROR(INDEX(Config_Puntos!$B$2:$B$18,MATCH(D271,Config_Puntos!$A$2:$A$18,0)),"")</f>
        <v/>
      </c>
      <c r="F271" s="13"/>
    </row>
    <row r="272" spans="1:6" x14ac:dyDescent="0.25">
      <c r="A272" s="13"/>
      <c r="B272" s="13"/>
      <c r="C272" s="13"/>
      <c r="D272" s="13"/>
      <c r="E272" s="6" t="str">
        <f>IFERROR(INDEX(Config_Puntos!$B$2:$B$18,MATCH(D272,Config_Puntos!$A$2:$A$18,0)),"")</f>
        <v/>
      </c>
      <c r="F272" s="13"/>
    </row>
    <row r="273" spans="1:6" x14ac:dyDescent="0.25">
      <c r="A273" s="13"/>
      <c r="B273" s="13"/>
      <c r="C273" s="13"/>
      <c r="D273" s="13"/>
      <c r="E273" s="6" t="str">
        <f>IFERROR(INDEX(Config_Puntos!$B$2:$B$18,MATCH(D273,Config_Puntos!$A$2:$A$18,0)),"")</f>
        <v/>
      </c>
      <c r="F273" s="13"/>
    </row>
    <row r="274" spans="1:6" x14ac:dyDescent="0.25">
      <c r="A274" s="13"/>
      <c r="B274" s="13"/>
      <c r="C274" s="13"/>
      <c r="D274" s="13"/>
      <c r="E274" s="6" t="str">
        <f>IFERROR(INDEX(Config_Puntos!$B$2:$B$18,MATCH(D274,Config_Puntos!$A$2:$A$18,0)),"")</f>
        <v/>
      </c>
      <c r="F274" s="13"/>
    </row>
    <row r="275" spans="1:6" x14ac:dyDescent="0.25">
      <c r="A275" s="13"/>
      <c r="B275" s="13"/>
      <c r="C275" s="13"/>
      <c r="D275" s="13"/>
      <c r="E275" s="6" t="str">
        <f>IFERROR(INDEX(Config_Puntos!$B$2:$B$18,MATCH(D275,Config_Puntos!$A$2:$A$18,0)),"")</f>
        <v/>
      </c>
      <c r="F275" s="13"/>
    </row>
    <row r="276" spans="1:6" x14ac:dyDescent="0.25">
      <c r="A276" s="13"/>
      <c r="B276" s="13"/>
      <c r="C276" s="13"/>
      <c r="D276" s="13"/>
      <c r="E276" s="6" t="str">
        <f>IFERROR(INDEX(Config_Puntos!$B$2:$B$18,MATCH(D276,Config_Puntos!$A$2:$A$18,0)),"")</f>
        <v/>
      </c>
      <c r="F276" s="13"/>
    </row>
    <row r="277" spans="1:6" x14ac:dyDescent="0.25">
      <c r="A277" s="13"/>
      <c r="B277" s="13"/>
      <c r="C277" s="13"/>
      <c r="D277" s="13"/>
      <c r="E277" s="6" t="str">
        <f>IFERROR(INDEX(Config_Puntos!$B$2:$B$18,MATCH(D277,Config_Puntos!$A$2:$A$18,0)),"")</f>
        <v/>
      </c>
      <c r="F277" s="13"/>
    </row>
    <row r="278" spans="1:6" x14ac:dyDescent="0.25">
      <c r="A278" s="13"/>
      <c r="B278" s="13"/>
      <c r="C278" s="13"/>
      <c r="D278" s="13"/>
      <c r="E278" s="6" t="str">
        <f>IFERROR(INDEX(Config_Puntos!$B$2:$B$18,MATCH(D278,Config_Puntos!$A$2:$A$18,0)),"")</f>
        <v/>
      </c>
      <c r="F278" s="13"/>
    </row>
    <row r="279" spans="1:6" x14ac:dyDescent="0.25">
      <c r="A279" s="13"/>
      <c r="B279" s="13"/>
      <c r="C279" s="13"/>
      <c r="D279" s="13"/>
      <c r="E279" s="6" t="str">
        <f>IFERROR(INDEX(Config_Puntos!$B$2:$B$18,MATCH(D279,Config_Puntos!$A$2:$A$18,0)),"")</f>
        <v/>
      </c>
      <c r="F279" s="13"/>
    </row>
    <row r="280" spans="1:6" x14ac:dyDescent="0.25">
      <c r="A280" s="13"/>
      <c r="B280" s="13"/>
      <c r="C280" s="13"/>
      <c r="D280" s="13"/>
      <c r="E280" s="6" t="str">
        <f>IFERROR(INDEX(Config_Puntos!$B$2:$B$18,MATCH(D280,Config_Puntos!$A$2:$A$18,0)),"")</f>
        <v/>
      </c>
      <c r="F280" s="13"/>
    </row>
    <row r="281" spans="1:6" x14ac:dyDescent="0.25">
      <c r="A281" s="13"/>
      <c r="B281" s="13"/>
      <c r="C281" s="13"/>
      <c r="D281" s="13"/>
      <c r="E281" s="6" t="str">
        <f>IFERROR(INDEX(Config_Puntos!$B$2:$B$18,MATCH(D281,Config_Puntos!$A$2:$A$18,0)),"")</f>
        <v/>
      </c>
      <c r="F281" s="13"/>
    </row>
    <row r="282" spans="1:6" x14ac:dyDescent="0.25">
      <c r="A282" s="13"/>
      <c r="B282" s="13"/>
      <c r="C282" s="13"/>
      <c r="D282" s="13"/>
      <c r="E282" s="6" t="str">
        <f>IFERROR(INDEX(Config_Puntos!$B$2:$B$18,MATCH(D282,Config_Puntos!$A$2:$A$18,0)),"")</f>
        <v/>
      </c>
      <c r="F282" s="13"/>
    </row>
    <row r="283" spans="1:6" x14ac:dyDescent="0.25">
      <c r="A283" s="13"/>
      <c r="B283" s="13"/>
      <c r="C283" s="13"/>
      <c r="D283" s="13"/>
      <c r="E283" s="6" t="str">
        <f>IFERROR(INDEX(Config_Puntos!$B$2:$B$18,MATCH(D283,Config_Puntos!$A$2:$A$18,0)),"")</f>
        <v/>
      </c>
      <c r="F283" s="13"/>
    </row>
    <row r="284" spans="1:6" x14ac:dyDescent="0.25">
      <c r="A284" s="13"/>
      <c r="B284" s="13"/>
      <c r="C284" s="13"/>
      <c r="D284" s="13"/>
      <c r="E284" s="6" t="str">
        <f>IFERROR(INDEX(Config_Puntos!$B$2:$B$18,MATCH(D284,Config_Puntos!$A$2:$A$18,0)),"")</f>
        <v/>
      </c>
      <c r="F284" s="13"/>
    </row>
    <row r="285" spans="1:6" x14ac:dyDescent="0.25">
      <c r="A285" s="13"/>
      <c r="B285" s="13"/>
      <c r="C285" s="13"/>
      <c r="D285" s="13"/>
      <c r="E285" s="6" t="str">
        <f>IFERROR(INDEX(Config_Puntos!$B$2:$B$18,MATCH(D285,Config_Puntos!$A$2:$A$18,0)),"")</f>
        <v/>
      </c>
      <c r="F285" s="13"/>
    </row>
    <row r="286" spans="1:6" x14ac:dyDescent="0.25">
      <c r="A286" s="13"/>
      <c r="B286" s="13"/>
      <c r="C286" s="13"/>
      <c r="D286" s="13"/>
      <c r="E286" s="6" t="str">
        <f>IFERROR(INDEX(Config_Puntos!$B$2:$B$18,MATCH(D286,Config_Puntos!$A$2:$A$18,0)),"")</f>
        <v/>
      </c>
      <c r="F286" s="13"/>
    </row>
    <row r="287" spans="1:6" x14ac:dyDescent="0.25">
      <c r="A287" s="13"/>
      <c r="B287" s="13"/>
      <c r="C287" s="13"/>
      <c r="D287" s="13"/>
      <c r="E287" s="6" t="str">
        <f>IFERROR(INDEX(Config_Puntos!$B$2:$B$18,MATCH(D287,Config_Puntos!$A$2:$A$18,0)),"")</f>
        <v/>
      </c>
      <c r="F287" s="13"/>
    </row>
    <row r="288" spans="1:6" x14ac:dyDescent="0.25">
      <c r="A288" s="13"/>
      <c r="B288" s="13"/>
      <c r="C288" s="13"/>
      <c r="D288" s="13"/>
      <c r="E288" s="6" t="str">
        <f>IFERROR(INDEX(Config_Puntos!$B$2:$B$18,MATCH(D288,Config_Puntos!$A$2:$A$18,0)),"")</f>
        <v/>
      </c>
      <c r="F288" s="13"/>
    </row>
    <row r="289" spans="1:6" x14ac:dyDescent="0.25">
      <c r="A289" s="13"/>
      <c r="B289" s="13"/>
      <c r="C289" s="13"/>
      <c r="D289" s="13"/>
      <c r="E289" s="6" t="str">
        <f>IFERROR(INDEX(Config_Puntos!$B$2:$B$18,MATCH(D289,Config_Puntos!$A$2:$A$18,0)),"")</f>
        <v/>
      </c>
      <c r="F289" s="13"/>
    </row>
    <row r="290" spans="1:6" x14ac:dyDescent="0.25">
      <c r="A290" s="13"/>
      <c r="B290" s="13"/>
      <c r="C290" s="13"/>
      <c r="D290" s="13"/>
      <c r="E290" s="6" t="str">
        <f>IFERROR(INDEX(Config_Puntos!$B$2:$B$18,MATCH(D290,Config_Puntos!$A$2:$A$18,0)),"")</f>
        <v/>
      </c>
      <c r="F290" s="13"/>
    </row>
    <row r="291" spans="1:6" x14ac:dyDescent="0.25">
      <c r="A291" s="13"/>
      <c r="B291" s="13"/>
      <c r="C291" s="13"/>
      <c r="D291" s="13"/>
      <c r="E291" s="6" t="str">
        <f>IFERROR(INDEX(Config_Puntos!$B$2:$B$18,MATCH(D291,Config_Puntos!$A$2:$A$18,0)),"")</f>
        <v/>
      </c>
      <c r="F291" s="13"/>
    </row>
    <row r="292" spans="1:6" x14ac:dyDescent="0.25">
      <c r="A292" s="13"/>
      <c r="B292" s="13"/>
      <c r="C292" s="13"/>
      <c r="D292" s="13"/>
      <c r="E292" s="6" t="str">
        <f>IFERROR(INDEX(Config_Puntos!$B$2:$B$18,MATCH(D292,Config_Puntos!$A$2:$A$18,0)),"")</f>
        <v/>
      </c>
      <c r="F292" s="13"/>
    </row>
    <row r="293" spans="1:6" x14ac:dyDescent="0.25">
      <c r="A293" s="13"/>
      <c r="B293" s="13"/>
      <c r="C293" s="13"/>
      <c r="D293" s="13"/>
      <c r="E293" s="6" t="str">
        <f>IFERROR(INDEX(Config_Puntos!$B$2:$B$18,MATCH(D293,Config_Puntos!$A$2:$A$18,0)),"")</f>
        <v/>
      </c>
      <c r="F293" s="13"/>
    </row>
    <row r="294" spans="1:6" x14ac:dyDescent="0.25">
      <c r="A294" s="13"/>
      <c r="B294" s="13"/>
      <c r="C294" s="13"/>
      <c r="D294" s="13"/>
      <c r="E294" s="6" t="str">
        <f>IFERROR(INDEX(Config_Puntos!$B$2:$B$18,MATCH(D294,Config_Puntos!$A$2:$A$18,0)),"")</f>
        <v/>
      </c>
      <c r="F294" s="13"/>
    </row>
    <row r="295" spans="1:6" x14ac:dyDescent="0.25">
      <c r="A295" s="13"/>
      <c r="B295" s="13"/>
      <c r="C295" s="13"/>
      <c r="D295" s="13"/>
      <c r="E295" s="6" t="str">
        <f>IFERROR(INDEX(Config_Puntos!$B$2:$B$18,MATCH(D295,Config_Puntos!$A$2:$A$18,0)),"")</f>
        <v/>
      </c>
      <c r="F295" s="13"/>
    </row>
    <row r="296" spans="1:6" x14ac:dyDescent="0.25">
      <c r="A296" s="13"/>
      <c r="B296" s="13"/>
      <c r="C296" s="13"/>
      <c r="D296" s="13"/>
      <c r="E296" s="6" t="str">
        <f>IFERROR(INDEX(Config_Puntos!$B$2:$B$18,MATCH(D296,Config_Puntos!$A$2:$A$18,0)),"")</f>
        <v/>
      </c>
      <c r="F296" s="13"/>
    </row>
    <row r="297" spans="1:6" x14ac:dyDescent="0.25">
      <c r="A297" s="13"/>
      <c r="B297" s="13"/>
      <c r="C297" s="13"/>
      <c r="D297" s="13"/>
      <c r="E297" s="6" t="str">
        <f>IFERROR(INDEX(Config_Puntos!$B$2:$B$18,MATCH(D297,Config_Puntos!$A$2:$A$18,0)),"")</f>
        <v/>
      </c>
      <c r="F297" s="13"/>
    </row>
    <row r="298" spans="1:6" x14ac:dyDescent="0.25">
      <c r="A298" s="13"/>
      <c r="B298" s="13"/>
      <c r="C298" s="13"/>
      <c r="D298" s="13"/>
      <c r="E298" s="6" t="str">
        <f>IFERROR(INDEX(Config_Puntos!$B$2:$B$18,MATCH(D298,Config_Puntos!$A$2:$A$18,0)),"")</f>
        <v/>
      </c>
      <c r="F298" s="13"/>
    </row>
    <row r="299" spans="1:6" x14ac:dyDescent="0.25">
      <c r="A299" s="13"/>
      <c r="B299" s="13"/>
      <c r="C299" s="13"/>
      <c r="D299" s="13"/>
      <c r="E299" s="6" t="str">
        <f>IFERROR(INDEX(Config_Puntos!$B$2:$B$18,MATCH(D299,Config_Puntos!$A$2:$A$18,0)),"")</f>
        <v/>
      </c>
      <c r="F299" s="13"/>
    </row>
    <row r="300" spans="1:6" x14ac:dyDescent="0.25">
      <c r="A300" s="13"/>
      <c r="B300" s="13"/>
      <c r="C300" s="13"/>
      <c r="D300" s="13"/>
      <c r="E300" s="6" t="str">
        <f>IFERROR(INDEX(Config_Puntos!$B$2:$B$18,MATCH(D300,Config_Puntos!$A$2:$A$18,0)),"")</f>
        <v/>
      </c>
      <c r="F300" s="13"/>
    </row>
    <row r="301" spans="1:6" x14ac:dyDescent="0.25">
      <c r="A301" s="13"/>
      <c r="B301" s="13"/>
      <c r="C301" s="13"/>
      <c r="D301" s="13"/>
      <c r="E301" s="6" t="str">
        <f>IFERROR(INDEX(Config_Puntos!$B$2:$B$18,MATCH(D301,Config_Puntos!$A$2:$A$18,0)),"")</f>
        <v/>
      </c>
      <c r="F301" s="13"/>
    </row>
    <row r="302" spans="1:6" x14ac:dyDescent="0.25">
      <c r="A302" s="13"/>
      <c r="B302" s="13"/>
      <c r="C302" s="13"/>
      <c r="D302" s="13"/>
      <c r="E302" s="6" t="str">
        <f>IFERROR(INDEX(Config_Puntos!$B$2:$B$18,MATCH(D302,Config_Puntos!$A$2:$A$18,0)),"")</f>
        <v/>
      </c>
      <c r="F302" s="13"/>
    </row>
    <row r="303" spans="1:6" x14ac:dyDescent="0.25">
      <c r="A303" s="13"/>
      <c r="B303" s="13"/>
      <c r="C303" s="13"/>
      <c r="D303" s="13"/>
      <c r="E303" s="6" t="str">
        <f>IFERROR(INDEX(Config_Puntos!$B$2:$B$18,MATCH(D303,Config_Puntos!$A$2:$A$18,0)),"")</f>
        <v/>
      </c>
      <c r="F303" s="13"/>
    </row>
    <row r="304" spans="1:6" x14ac:dyDescent="0.25">
      <c r="A304" s="13"/>
      <c r="B304" s="13"/>
      <c r="C304" s="13"/>
      <c r="D304" s="13"/>
      <c r="E304" s="6" t="str">
        <f>IFERROR(INDEX(Config_Puntos!$B$2:$B$18,MATCH(D304,Config_Puntos!$A$2:$A$18,0)),"")</f>
        <v/>
      </c>
      <c r="F304" s="13"/>
    </row>
    <row r="305" spans="1:6" x14ac:dyDescent="0.25">
      <c r="A305" s="13"/>
      <c r="B305" s="13"/>
      <c r="C305" s="13"/>
      <c r="D305" s="13"/>
      <c r="E305" s="6" t="str">
        <f>IFERROR(INDEX(Config_Puntos!$B$2:$B$18,MATCH(D305,Config_Puntos!$A$2:$A$18,0)),"")</f>
        <v/>
      </c>
      <c r="F305" s="13"/>
    </row>
    <row r="306" spans="1:6" x14ac:dyDescent="0.25">
      <c r="A306" s="13"/>
      <c r="B306" s="13"/>
      <c r="C306" s="13"/>
      <c r="D306" s="13"/>
      <c r="E306" s="6" t="str">
        <f>IFERROR(INDEX(Config_Puntos!$B$2:$B$18,MATCH(D306,Config_Puntos!$A$2:$A$18,0)),"")</f>
        <v/>
      </c>
      <c r="F306" s="13"/>
    </row>
    <row r="307" spans="1:6" x14ac:dyDescent="0.25">
      <c r="A307" s="13"/>
      <c r="B307" s="13"/>
      <c r="C307" s="13"/>
      <c r="D307" s="13"/>
      <c r="E307" s="6" t="str">
        <f>IFERROR(INDEX(Config_Puntos!$B$2:$B$18,MATCH(D307,Config_Puntos!$A$2:$A$18,0)),"")</f>
        <v/>
      </c>
      <c r="F307" s="13"/>
    </row>
    <row r="308" spans="1:6" x14ac:dyDescent="0.25">
      <c r="A308" s="13"/>
      <c r="B308" s="13"/>
      <c r="C308" s="13"/>
      <c r="D308" s="13"/>
      <c r="E308" s="6" t="str">
        <f>IFERROR(INDEX(Config_Puntos!$B$2:$B$18,MATCH(D308,Config_Puntos!$A$2:$A$18,0)),"")</f>
        <v/>
      </c>
      <c r="F308" s="13"/>
    </row>
    <row r="309" spans="1:6" x14ac:dyDescent="0.25">
      <c r="A309" s="13"/>
      <c r="B309" s="13"/>
      <c r="C309" s="13"/>
      <c r="D309" s="13"/>
      <c r="E309" s="6" t="str">
        <f>IFERROR(INDEX(Config_Puntos!$B$2:$B$18,MATCH(D309,Config_Puntos!$A$2:$A$18,0)),"")</f>
        <v/>
      </c>
      <c r="F309" s="13"/>
    </row>
    <row r="310" spans="1:6" x14ac:dyDescent="0.25">
      <c r="A310" s="13"/>
      <c r="B310" s="13"/>
      <c r="C310" s="13"/>
      <c r="D310" s="13"/>
      <c r="E310" s="6" t="str">
        <f>IFERROR(INDEX(Config_Puntos!$B$2:$B$18,MATCH(D310,Config_Puntos!$A$2:$A$18,0)),"")</f>
        <v/>
      </c>
      <c r="F310" s="13"/>
    </row>
    <row r="311" spans="1:6" x14ac:dyDescent="0.25">
      <c r="A311" s="13"/>
      <c r="B311" s="13"/>
      <c r="C311" s="13"/>
      <c r="D311" s="13"/>
      <c r="E311" s="6" t="str">
        <f>IFERROR(INDEX(Config_Puntos!$B$2:$B$18,MATCH(D311,Config_Puntos!$A$2:$A$18,0)),"")</f>
        <v/>
      </c>
      <c r="F311" s="13"/>
    </row>
    <row r="312" spans="1:6" x14ac:dyDescent="0.25">
      <c r="A312" s="13"/>
      <c r="B312" s="13"/>
      <c r="C312" s="13"/>
      <c r="D312" s="13"/>
      <c r="E312" s="6" t="str">
        <f>IFERROR(INDEX(Config_Puntos!$B$2:$B$18,MATCH(D312,Config_Puntos!$A$2:$A$18,0)),"")</f>
        <v/>
      </c>
      <c r="F312" s="13"/>
    </row>
    <row r="313" spans="1:6" x14ac:dyDescent="0.25">
      <c r="A313" s="13"/>
      <c r="B313" s="13"/>
      <c r="C313" s="13"/>
      <c r="D313" s="13"/>
      <c r="E313" s="6" t="str">
        <f>IFERROR(INDEX(Config_Puntos!$B$2:$B$18,MATCH(D313,Config_Puntos!$A$2:$A$18,0)),"")</f>
        <v/>
      </c>
      <c r="F313" s="13"/>
    </row>
    <row r="314" spans="1:6" x14ac:dyDescent="0.25">
      <c r="A314" s="13"/>
      <c r="B314" s="13"/>
      <c r="C314" s="13"/>
      <c r="D314" s="13"/>
      <c r="E314" s="6" t="str">
        <f>IFERROR(INDEX(Config_Puntos!$B$2:$B$18,MATCH(D314,Config_Puntos!$A$2:$A$18,0)),"")</f>
        <v/>
      </c>
      <c r="F314" s="13"/>
    </row>
    <row r="315" spans="1:6" x14ac:dyDescent="0.25">
      <c r="A315" s="13"/>
      <c r="B315" s="13"/>
      <c r="C315" s="13"/>
      <c r="D315" s="13"/>
      <c r="E315" s="6" t="str">
        <f>IFERROR(INDEX(Config_Puntos!$B$2:$B$18,MATCH(D315,Config_Puntos!$A$2:$A$18,0)),"")</f>
        <v/>
      </c>
      <c r="F315" s="13"/>
    </row>
    <row r="316" spans="1:6" x14ac:dyDescent="0.25">
      <c r="A316" s="13"/>
      <c r="B316" s="13"/>
      <c r="C316" s="13"/>
      <c r="D316" s="13"/>
      <c r="E316" s="6" t="str">
        <f>IFERROR(INDEX(Config_Puntos!$B$2:$B$18,MATCH(D316,Config_Puntos!$A$2:$A$18,0)),"")</f>
        <v/>
      </c>
      <c r="F316" s="13"/>
    </row>
    <row r="317" spans="1:6" x14ac:dyDescent="0.25">
      <c r="A317" s="13"/>
      <c r="B317" s="13"/>
      <c r="C317" s="13"/>
      <c r="D317" s="13"/>
      <c r="E317" s="6" t="str">
        <f>IFERROR(INDEX(Config_Puntos!$B$2:$B$18,MATCH(D317,Config_Puntos!$A$2:$A$18,0)),"")</f>
        <v/>
      </c>
      <c r="F317" s="13"/>
    </row>
    <row r="318" spans="1:6" x14ac:dyDescent="0.25">
      <c r="A318" s="13"/>
      <c r="B318" s="13"/>
      <c r="C318" s="13"/>
      <c r="D318" s="13"/>
      <c r="E318" s="6" t="str">
        <f>IFERROR(INDEX(Config_Puntos!$B$2:$B$18,MATCH(D318,Config_Puntos!$A$2:$A$18,0)),"")</f>
        <v/>
      </c>
      <c r="F318" s="13"/>
    </row>
    <row r="319" spans="1:6" x14ac:dyDescent="0.25">
      <c r="A319" s="13"/>
      <c r="B319" s="13"/>
      <c r="C319" s="13"/>
      <c r="D319" s="13"/>
      <c r="E319" s="6" t="str">
        <f>IFERROR(INDEX(Config_Puntos!$B$2:$B$18,MATCH(D319,Config_Puntos!$A$2:$A$18,0)),"")</f>
        <v/>
      </c>
      <c r="F319" s="13"/>
    </row>
    <row r="320" spans="1:6" x14ac:dyDescent="0.25">
      <c r="A320" s="13"/>
      <c r="B320" s="13"/>
      <c r="C320" s="13"/>
      <c r="D320" s="13"/>
      <c r="E320" s="6" t="str">
        <f>IFERROR(INDEX(Config_Puntos!$B$2:$B$18,MATCH(D320,Config_Puntos!$A$2:$A$18,0)),"")</f>
        <v/>
      </c>
      <c r="F320" s="13"/>
    </row>
    <row r="321" spans="1:6" x14ac:dyDescent="0.25">
      <c r="A321" s="13"/>
      <c r="B321" s="13"/>
      <c r="C321" s="13"/>
      <c r="D321" s="13"/>
      <c r="E321" s="6" t="str">
        <f>IFERROR(INDEX(Config_Puntos!$B$2:$B$18,MATCH(D321,Config_Puntos!$A$2:$A$18,0)),"")</f>
        <v/>
      </c>
      <c r="F321" s="13"/>
    </row>
    <row r="322" spans="1:6" x14ac:dyDescent="0.25">
      <c r="A322" s="13"/>
      <c r="B322" s="13"/>
      <c r="C322" s="13"/>
      <c r="D322" s="13"/>
      <c r="E322" s="6" t="str">
        <f>IFERROR(INDEX(Config_Puntos!$B$2:$B$18,MATCH(D322,Config_Puntos!$A$2:$A$18,0)),"")</f>
        <v/>
      </c>
      <c r="F322" s="13"/>
    </row>
    <row r="323" spans="1:6" x14ac:dyDescent="0.25">
      <c r="A323" s="13"/>
      <c r="B323" s="13"/>
      <c r="C323" s="13"/>
      <c r="D323" s="13"/>
      <c r="E323" s="6" t="str">
        <f>IFERROR(INDEX(Config_Puntos!$B$2:$B$18,MATCH(D323,Config_Puntos!$A$2:$A$18,0)),"")</f>
        <v/>
      </c>
      <c r="F323" s="13"/>
    </row>
    <row r="324" spans="1:6" x14ac:dyDescent="0.25">
      <c r="A324" s="13"/>
      <c r="B324" s="13"/>
      <c r="C324" s="13"/>
      <c r="D324" s="13"/>
      <c r="E324" s="6" t="str">
        <f>IFERROR(INDEX(Config_Puntos!$B$2:$B$18,MATCH(D324,Config_Puntos!$A$2:$A$18,0)),"")</f>
        <v/>
      </c>
      <c r="F324" s="13"/>
    </row>
    <row r="325" spans="1:6" x14ac:dyDescent="0.25">
      <c r="A325" s="13"/>
      <c r="B325" s="13"/>
      <c r="C325" s="13"/>
      <c r="D325" s="13"/>
      <c r="E325" s="6" t="str">
        <f>IFERROR(INDEX(Config_Puntos!$B$2:$B$18,MATCH(D325,Config_Puntos!$A$2:$A$18,0)),"")</f>
        <v/>
      </c>
      <c r="F325" s="13"/>
    </row>
    <row r="326" spans="1:6" x14ac:dyDescent="0.25">
      <c r="A326" s="13"/>
      <c r="B326" s="13"/>
      <c r="C326" s="13"/>
      <c r="D326" s="13"/>
      <c r="E326" s="6" t="str">
        <f>IFERROR(INDEX(Config_Puntos!$B$2:$B$18,MATCH(D326,Config_Puntos!$A$2:$A$18,0)),"")</f>
        <v/>
      </c>
      <c r="F326" s="13"/>
    </row>
    <row r="327" spans="1:6" x14ac:dyDescent="0.25">
      <c r="A327" s="13"/>
      <c r="B327" s="13"/>
      <c r="C327" s="13"/>
      <c r="D327" s="13"/>
      <c r="E327" s="6" t="str">
        <f>IFERROR(INDEX(Config_Puntos!$B$2:$B$18,MATCH(D327,Config_Puntos!$A$2:$A$18,0)),"")</f>
        <v/>
      </c>
      <c r="F327" s="13"/>
    </row>
    <row r="328" spans="1:6" x14ac:dyDescent="0.25">
      <c r="A328" s="13"/>
      <c r="B328" s="13"/>
      <c r="C328" s="13"/>
      <c r="D328" s="13"/>
      <c r="E328" s="6" t="str">
        <f>IFERROR(INDEX(Config_Puntos!$B$2:$B$18,MATCH(D328,Config_Puntos!$A$2:$A$18,0)),"")</f>
        <v/>
      </c>
      <c r="F328" s="13"/>
    </row>
    <row r="329" spans="1:6" x14ac:dyDescent="0.25">
      <c r="A329" s="13"/>
      <c r="B329" s="13"/>
      <c r="C329" s="13"/>
      <c r="D329" s="13"/>
      <c r="E329" s="6" t="str">
        <f>IFERROR(INDEX(Config_Puntos!$B$2:$B$18,MATCH(D329,Config_Puntos!$A$2:$A$18,0)),"")</f>
        <v/>
      </c>
      <c r="F329" s="13"/>
    </row>
    <row r="330" spans="1:6" x14ac:dyDescent="0.25">
      <c r="A330" s="13"/>
      <c r="B330" s="13"/>
      <c r="C330" s="13"/>
      <c r="D330" s="13"/>
      <c r="E330" s="6" t="str">
        <f>IFERROR(INDEX(Config_Puntos!$B$2:$B$18,MATCH(D330,Config_Puntos!$A$2:$A$18,0)),"")</f>
        <v/>
      </c>
      <c r="F330" s="13"/>
    </row>
    <row r="331" spans="1:6" x14ac:dyDescent="0.25">
      <c r="A331" s="13"/>
      <c r="B331" s="13"/>
      <c r="C331" s="13"/>
      <c r="D331" s="13"/>
      <c r="E331" s="6" t="str">
        <f>IFERROR(INDEX(Config_Puntos!$B$2:$B$18,MATCH(D331,Config_Puntos!$A$2:$A$18,0)),"")</f>
        <v/>
      </c>
      <c r="F331" s="13"/>
    </row>
    <row r="332" spans="1:6" x14ac:dyDescent="0.25">
      <c r="A332" s="13"/>
      <c r="B332" s="13"/>
      <c r="C332" s="13"/>
      <c r="D332" s="13"/>
      <c r="E332" s="6" t="str">
        <f>IFERROR(INDEX(Config_Puntos!$B$2:$B$18,MATCH(D332,Config_Puntos!$A$2:$A$18,0)),"")</f>
        <v/>
      </c>
      <c r="F332" s="13"/>
    </row>
    <row r="333" spans="1:6" x14ac:dyDescent="0.25">
      <c r="A333" s="13"/>
      <c r="B333" s="13"/>
      <c r="C333" s="13"/>
      <c r="D333" s="13"/>
      <c r="E333" s="6" t="str">
        <f>IFERROR(INDEX(Config_Puntos!$B$2:$B$18,MATCH(D333,Config_Puntos!$A$2:$A$18,0)),"")</f>
        <v/>
      </c>
      <c r="F333" s="13"/>
    </row>
    <row r="334" spans="1:6" x14ac:dyDescent="0.25">
      <c r="A334" s="13"/>
      <c r="B334" s="13"/>
      <c r="C334" s="13"/>
      <c r="D334" s="13"/>
      <c r="E334" s="6" t="str">
        <f>IFERROR(INDEX(Config_Puntos!$B$2:$B$18,MATCH(D334,Config_Puntos!$A$2:$A$18,0)),"")</f>
        <v/>
      </c>
      <c r="F334" s="13"/>
    </row>
    <row r="335" spans="1:6" x14ac:dyDescent="0.25">
      <c r="A335" s="13"/>
      <c r="B335" s="13"/>
      <c r="C335" s="13"/>
      <c r="D335" s="13"/>
      <c r="E335" s="6" t="str">
        <f>IFERROR(INDEX(Config_Puntos!$B$2:$B$18,MATCH(D335,Config_Puntos!$A$2:$A$18,0)),"")</f>
        <v/>
      </c>
      <c r="F335" s="13"/>
    </row>
    <row r="336" spans="1:6" x14ac:dyDescent="0.25">
      <c r="A336" s="13"/>
      <c r="B336" s="13"/>
      <c r="C336" s="13"/>
      <c r="D336" s="13"/>
      <c r="E336" s="6" t="str">
        <f>IFERROR(INDEX(Config_Puntos!$B$2:$B$18,MATCH(D336,Config_Puntos!$A$2:$A$18,0)),"")</f>
        <v/>
      </c>
      <c r="F336" s="13"/>
    </row>
    <row r="337" spans="1:6" x14ac:dyDescent="0.25">
      <c r="A337" s="13"/>
      <c r="B337" s="13"/>
      <c r="C337" s="13"/>
      <c r="D337" s="13"/>
      <c r="E337" s="6" t="str">
        <f>IFERROR(INDEX(Config_Puntos!$B$2:$B$18,MATCH(D337,Config_Puntos!$A$2:$A$18,0)),"")</f>
        <v/>
      </c>
      <c r="F337" s="13"/>
    </row>
    <row r="338" spans="1:6" x14ac:dyDescent="0.25">
      <c r="A338" s="13"/>
      <c r="B338" s="13"/>
      <c r="C338" s="13"/>
      <c r="D338" s="13"/>
      <c r="E338" s="6" t="str">
        <f>IFERROR(INDEX(Config_Puntos!$B$2:$B$18,MATCH(D338,Config_Puntos!$A$2:$A$18,0)),"")</f>
        <v/>
      </c>
      <c r="F338" s="13"/>
    </row>
    <row r="339" spans="1:6" x14ac:dyDescent="0.25">
      <c r="A339" s="13"/>
      <c r="B339" s="13"/>
      <c r="C339" s="13"/>
      <c r="D339" s="13"/>
      <c r="E339" s="6" t="str">
        <f>IFERROR(INDEX(Config_Puntos!$B$2:$B$18,MATCH(D339,Config_Puntos!$A$2:$A$18,0)),"")</f>
        <v/>
      </c>
      <c r="F339" s="13"/>
    </row>
    <row r="340" spans="1:6" x14ac:dyDescent="0.25">
      <c r="A340" s="13"/>
      <c r="B340" s="13"/>
      <c r="C340" s="13"/>
      <c r="D340" s="13"/>
      <c r="E340" s="6" t="str">
        <f>IFERROR(INDEX(Config_Puntos!$B$2:$B$18,MATCH(D340,Config_Puntos!$A$2:$A$18,0)),"")</f>
        <v/>
      </c>
      <c r="F340" s="13"/>
    </row>
    <row r="341" spans="1:6" x14ac:dyDescent="0.25">
      <c r="A341" s="13"/>
      <c r="B341" s="13"/>
      <c r="C341" s="13"/>
      <c r="D341" s="13"/>
      <c r="E341" s="6" t="str">
        <f>IFERROR(INDEX(Config_Puntos!$B$2:$B$18,MATCH(D341,Config_Puntos!$A$2:$A$18,0)),"")</f>
        <v/>
      </c>
      <c r="F341" s="13"/>
    </row>
    <row r="342" spans="1:6" x14ac:dyDescent="0.25">
      <c r="A342" s="13"/>
      <c r="B342" s="13"/>
      <c r="C342" s="13"/>
      <c r="D342" s="13"/>
      <c r="E342" s="6" t="str">
        <f>IFERROR(INDEX(Config_Puntos!$B$2:$B$18,MATCH(D342,Config_Puntos!$A$2:$A$18,0)),"")</f>
        <v/>
      </c>
      <c r="F342" s="13"/>
    </row>
    <row r="343" spans="1:6" x14ac:dyDescent="0.25">
      <c r="A343" s="13"/>
      <c r="B343" s="13"/>
      <c r="C343" s="13"/>
      <c r="D343" s="13"/>
      <c r="E343" s="6" t="str">
        <f>IFERROR(INDEX(Config_Puntos!$B$2:$B$18,MATCH(D343,Config_Puntos!$A$2:$A$18,0)),"")</f>
        <v/>
      </c>
      <c r="F343" s="13"/>
    </row>
    <row r="344" spans="1:6" x14ac:dyDescent="0.25">
      <c r="A344" s="13"/>
      <c r="B344" s="13"/>
      <c r="C344" s="13"/>
      <c r="D344" s="13"/>
      <c r="E344" s="6" t="str">
        <f>IFERROR(INDEX(Config_Puntos!$B$2:$B$18,MATCH(D344,Config_Puntos!$A$2:$A$18,0)),"")</f>
        <v/>
      </c>
      <c r="F344" s="13"/>
    </row>
    <row r="345" spans="1:6" x14ac:dyDescent="0.25">
      <c r="A345" s="13"/>
      <c r="B345" s="13"/>
      <c r="C345" s="13"/>
      <c r="D345" s="13"/>
      <c r="E345" s="6" t="str">
        <f>IFERROR(INDEX(Config_Puntos!$B$2:$B$18,MATCH(D345,Config_Puntos!$A$2:$A$18,0)),"")</f>
        <v/>
      </c>
      <c r="F345" s="13"/>
    </row>
    <row r="346" spans="1:6" x14ac:dyDescent="0.25">
      <c r="A346" s="13"/>
      <c r="B346" s="13"/>
      <c r="C346" s="13"/>
      <c r="D346" s="13"/>
      <c r="E346" s="6" t="str">
        <f>IFERROR(INDEX(Config_Puntos!$B$2:$B$18,MATCH(D346,Config_Puntos!$A$2:$A$18,0)),"")</f>
        <v/>
      </c>
      <c r="F346" s="13"/>
    </row>
    <row r="347" spans="1:6" x14ac:dyDescent="0.25">
      <c r="A347" s="13"/>
      <c r="B347" s="13"/>
      <c r="C347" s="13"/>
      <c r="D347" s="13"/>
      <c r="E347" s="6" t="str">
        <f>IFERROR(INDEX(Config_Puntos!$B$2:$B$18,MATCH(D347,Config_Puntos!$A$2:$A$18,0)),"")</f>
        <v/>
      </c>
      <c r="F347" s="13"/>
    </row>
    <row r="348" spans="1:6" x14ac:dyDescent="0.25">
      <c r="A348" s="13"/>
      <c r="B348" s="13"/>
      <c r="C348" s="13"/>
      <c r="D348" s="13"/>
      <c r="E348" s="6" t="str">
        <f>IFERROR(INDEX(Config_Puntos!$B$2:$B$18,MATCH(D348,Config_Puntos!$A$2:$A$18,0)),"")</f>
        <v/>
      </c>
      <c r="F348" s="13"/>
    </row>
    <row r="349" spans="1:6" x14ac:dyDescent="0.25">
      <c r="A349" s="13"/>
      <c r="B349" s="13"/>
      <c r="C349" s="13"/>
      <c r="D349" s="13"/>
      <c r="E349" s="6" t="str">
        <f>IFERROR(INDEX(Config_Puntos!$B$2:$B$18,MATCH(D349,Config_Puntos!$A$2:$A$18,0)),"")</f>
        <v/>
      </c>
      <c r="F349" s="13"/>
    </row>
    <row r="350" spans="1:6" x14ac:dyDescent="0.25">
      <c r="A350" s="13"/>
      <c r="B350" s="13"/>
      <c r="C350" s="13"/>
      <c r="D350" s="13"/>
      <c r="E350" s="6" t="str">
        <f>IFERROR(INDEX(Config_Puntos!$B$2:$B$18,MATCH(D350,Config_Puntos!$A$2:$A$18,0)),"")</f>
        <v/>
      </c>
      <c r="F350" s="13"/>
    </row>
    <row r="351" spans="1:6" x14ac:dyDescent="0.25">
      <c r="A351" s="13"/>
      <c r="B351" s="13"/>
      <c r="C351" s="13"/>
      <c r="D351" s="13"/>
      <c r="E351" s="6" t="str">
        <f>IFERROR(INDEX(Config_Puntos!$B$2:$B$18,MATCH(D351,Config_Puntos!$A$2:$A$18,0)),"")</f>
        <v/>
      </c>
      <c r="F351" s="13"/>
    </row>
    <row r="352" spans="1:6" x14ac:dyDescent="0.25">
      <c r="A352" s="13"/>
      <c r="B352" s="13"/>
      <c r="C352" s="13"/>
      <c r="D352" s="13"/>
      <c r="E352" s="6" t="str">
        <f>IFERROR(INDEX(Config_Puntos!$B$2:$B$18,MATCH(D352,Config_Puntos!$A$2:$A$18,0)),"")</f>
        <v/>
      </c>
      <c r="F352" s="13"/>
    </row>
    <row r="353" spans="1:6" x14ac:dyDescent="0.25">
      <c r="A353" s="13"/>
      <c r="B353" s="13"/>
      <c r="C353" s="13"/>
      <c r="D353" s="13"/>
      <c r="E353" s="6" t="str">
        <f>IFERROR(INDEX(Config_Puntos!$B$2:$B$18,MATCH(D353,Config_Puntos!$A$2:$A$18,0)),"")</f>
        <v/>
      </c>
      <c r="F353" s="13"/>
    </row>
    <row r="354" spans="1:6" x14ac:dyDescent="0.25">
      <c r="A354" s="13"/>
      <c r="B354" s="13"/>
      <c r="C354" s="13"/>
      <c r="D354" s="13"/>
      <c r="E354" s="6" t="str">
        <f>IFERROR(INDEX(Config_Puntos!$B$2:$B$18,MATCH(D354,Config_Puntos!$A$2:$A$18,0)),"")</f>
        <v/>
      </c>
      <c r="F354" s="13"/>
    </row>
    <row r="355" spans="1:6" x14ac:dyDescent="0.25">
      <c r="A355" s="13"/>
      <c r="B355" s="13"/>
      <c r="C355" s="13"/>
      <c r="D355" s="13"/>
      <c r="E355" s="6" t="str">
        <f>IFERROR(INDEX(Config_Puntos!$B$2:$B$18,MATCH(D355,Config_Puntos!$A$2:$A$18,0)),"")</f>
        <v/>
      </c>
      <c r="F355" s="13"/>
    </row>
    <row r="356" spans="1:6" x14ac:dyDescent="0.25">
      <c r="A356" s="13"/>
      <c r="B356" s="13"/>
      <c r="C356" s="13"/>
      <c r="D356" s="13"/>
      <c r="E356" s="6" t="str">
        <f>IFERROR(INDEX(Config_Puntos!$B$2:$B$18,MATCH(D356,Config_Puntos!$A$2:$A$18,0)),"")</f>
        <v/>
      </c>
      <c r="F356" s="13"/>
    </row>
    <row r="357" spans="1:6" x14ac:dyDescent="0.25">
      <c r="A357" s="13"/>
      <c r="B357" s="13"/>
      <c r="C357" s="13"/>
      <c r="D357" s="13"/>
      <c r="E357" s="6" t="str">
        <f>IFERROR(INDEX(Config_Puntos!$B$2:$B$18,MATCH(D357,Config_Puntos!$A$2:$A$18,0)),"")</f>
        <v/>
      </c>
      <c r="F357" s="13"/>
    </row>
    <row r="358" spans="1:6" x14ac:dyDescent="0.25">
      <c r="A358" s="13"/>
      <c r="B358" s="13"/>
      <c r="C358" s="13"/>
      <c r="D358" s="13"/>
      <c r="E358" s="6" t="str">
        <f>IFERROR(INDEX(Config_Puntos!$B$2:$B$18,MATCH(D358,Config_Puntos!$A$2:$A$18,0)),"")</f>
        <v/>
      </c>
      <c r="F358" s="13"/>
    </row>
    <row r="359" spans="1:6" x14ac:dyDescent="0.25">
      <c r="A359" s="13"/>
      <c r="B359" s="13"/>
      <c r="C359" s="13"/>
      <c r="D359" s="13"/>
      <c r="E359" s="6" t="str">
        <f>IFERROR(INDEX(Config_Puntos!$B$2:$B$18,MATCH(D359,Config_Puntos!$A$2:$A$18,0)),"")</f>
        <v/>
      </c>
      <c r="F359" s="13"/>
    </row>
    <row r="360" spans="1:6" x14ac:dyDescent="0.25">
      <c r="A360" s="13"/>
      <c r="B360" s="13"/>
      <c r="C360" s="13"/>
      <c r="D360" s="13"/>
      <c r="E360" s="6" t="str">
        <f>IFERROR(INDEX(Config_Puntos!$B$2:$B$18,MATCH(D360,Config_Puntos!$A$2:$A$18,0)),"")</f>
        <v/>
      </c>
      <c r="F360" s="13"/>
    </row>
    <row r="361" spans="1:6" x14ac:dyDescent="0.25">
      <c r="A361" s="13"/>
      <c r="B361" s="13"/>
      <c r="C361" s="13"/>
      <c r="D361" s="13"/>
      <c r="E361" s="6" t="str">
        <f>IFERROR(INDEX(Config_Puntos!$B$2:$B$18,MATCH(D361,Config_Puntos!$A$2:$A$18,0)),"")</f>
        <v/>
      </c>
      <c r="F361" s="13"/>
    </row>
    <row r="362" spans="1:6" x14ac:dyDescent="0.25">
      <c r="A362" s="13"/>
      <c r="B362" s="13"/>
      <c r="C362" s="13"/>
      <c r="D362" s="13"/>
      <c r="E362" s="6" t="str">
        <f>IFERROR(INDEX(Config_Puntos!$B$2:$B$18,MATCH(D362,Config_Puntos!$A$2:$A$18,0)),"")</f>
        <v/>
      </c>
      <c r="F362" s="13"/>
    </row>
    <row r="363" spans="1:6" x14ac:dyDescent="0.25">
      <c r="A363" s="13"/>
      <c r="B363" s="13"/>
      <c r="C363" s="13"/>
      <c r="D363" s="13"/>
      <c r="E363" s="6" t="str">
        <f>IFERROR(INDEX(Config_Puntos!$B$2:$B$18,MATCH(D363,Config_Puntos!$A$2:$A$18,0)),"")</f>
        <v/>
      </c>
      <c r="F363" s="13"/>
    </row>
    <row r="364" spans="1:6" x14ac:dyDescent="0.25">
      <c r="A364" s="13"/>
      <c r="B364" s="13"/>
      <c r="C364" s="13"/>
      <c r="D364" s="13"/>
      <c r="E364" s="6" t="str">
        <f>IFERROR(INDEX(Config_Puntos!$B$2:$B$18,MATCH(D364,Config_Puntos!$A$2:$A$18,0)),"")</f>
        <v/>
      </c>
      <c r="F364" s="13"/>
    </row>
    <row r="365" spans="1:6" x14ac:dyDescent="0.25">
      <c r="A365" s="13"/>
      <c r="B365" s="13"/>
      <c r="C365" s="13"/>
      <c r="D365" s="13"/>
      <c r="E365" s="6" t="str">
        <f>IFERROR(INDEX(Config_Puntos!$B$2:$B$18,MATCH(D365,Config_Puntos!$A$2:$A$18,0)),"")</f>
        <v/>
      </c>
      <c r="F365" s="13"/>
    </row>
    <row r="366" spans="1:6" x14ac:dyDescent="0.25">
      <c r="A366" s="13"/>
      <c r="B366" s="13"/>
      <c r="C366" s="13"/>
      <c r="D366" s="13"/>
      <c r="E366" s="6" t="str">
        <f>IFERROR(INDEX(Config_Puntos!$B$2:$B$18,MATCH(D366,Config_Puntos!$A$2:$A$18,0)),"")</f>
        <v/>
      </c>
      <c r="F366" s="13"/>
    </row>
    <row r="367" spans="1:6" x14ac:dyDescent="0.25">
      <c r="A367" s="13"/>
      <c r="B367" s="13"/>
      <c r="C367" s="13"/>
      <c r="D367" s="13"/>
      <c r="E367" s="6" t="str">
        <f>IFERROR(INDEX(Config_Puntos!$B$2:$B$18,MATCH(D367,Config_Puntos!$A$2:$A$18,0)),"")</f>
        <v/>
      </c>
      <c r="F367" s="13"/>
    </row>
    <row r="368" spans="1:6" x14ac:dyDescent="0.25">
      <c r="A368" s="13"/>
      <c r="B368" s="13"/>
      <c r="C368" s="13"/>
      <c r="D368" s="13"/>
      <c r="E368" s="6" t="str">
        <f>IFERROR(INDEX(Config_Puntos!$B$2:$B$18,MATCH(D368,Config_Puntos!$A$2:$A$18,0)),"")</f>
        <v/>
      </c>
      <c r="F368" s="13"/>
    </row>
    <row r="369" spans="1:6" x14ac:dyDescent="0.25">
      <c r="A369" s="13"/>
      <c r="B369" s="13"/>
      <c r="C369" s="13"/>
      <c r="D369" s="13"/>
      <c r="E369" s="6" t="str">
        <f>IFERROR(INDEX(Config_Puntos!$B$2:$B$18,MATCH(D369,Config_Puntos!$A$2:$A$18,0)),"")</f>
        <v/>
      </c>
      <c r="F369" s="13"/>
    </row>
    <row r="370" spans="1:6" x14ac:dyDescent="0.25">
      <c r="A370" s="13"/>
      <c r="B370" s="13"/>
      <c r="C370" s="13"/>
      <c r="D370" s="13"/>
      <c r="E370" s="6" t="str">
        <f>IFERROR(INDEX(Config_Puntos!$B$2:$B$18,MATCH(D370,Config_Puntos!$A$2:$A$18,0)),"")</f>
        <v/>
      </c>
      <c r="F370" s="13"/>
    </row>
    <row r="371" spans="1:6" x14ac:dyDescent="0.25">
      <c r="A371" s="13"/>
      <c r="B371" s="13"/>
      <c r="C371" s="13"/>
      <c r="D371" s="13"/>
      <c r="E371" s="6" t="str">
        <f>IFERROR(INDEX(Config_Puntos!$B$2:$B$18,MATCH(D371,Config_Puntos!$A$2:$A$18,0)),"")</f>
        <v/>
      </c>
      <c r="F371" s="13"/>
    </row>
    <row r="372" spans="1:6" x14ac:dyDescent="0.25">
      <c r="A372" s="13"/>
      <c r="B372" s="13"/>
      <c r="C372" s="13"/>
      <c r="D372" s="13"/>
      <c r="E372" s="6" t="str">
        <f>IFERROR(INDEX(Config_Puntos!$B$2:$B$18,MATCH(D372,Config_Puntos!$A$2:$A$18,0)),"")</f>
        <v/>
      </c>
      <c r="F372" s="13"/>
    </row>
    <row r="373" spans="1:6" x14ac:dyDescent="0.25">
      <c r="A373" s="13"/>
      <c r="B373" s="13"/>
      <c r="C373" s="13"/>
      <c r="D373" s="13"/>
      <c r="E373" s="6" t="str">
        <f>IFERROR(INDEX(Config_Puntos!$B$2:$B$18,MATCH(D373,Config_Puntos!$A$2:$A$18,0)),"")</f>
        <v/>
      </c>
      <c r="F373" s="13"/>
    </row>
    <row r="374" spans="1:6" x14ac:dyDescent="0.25">
      <c r="A374" s="13"/>
      <c r="B374" s="13"/>
      <c r="C374" s="13"/>
      <c r="D374" s="13"/>
      <c r="E374" s="6" t="str">
        <f>IFERROR(INDEX(Config_Puntos!$B$2:$B$18,MATCH(D374,Config_Puntos!$A$2:$A$18,0)),"")</f>
        <v/>
      </c>
      <c r="F374" s="13"/>
    </row>
    <row r="375" spans="1:6" x14ac:dyDescent="0.25">
      <c r="A375" s="13"/>
      <c r="B375" s="13"/>
      <c r="C375" s="13"/>
      <c r="D375" s="13"/>
      <c r="E375" s="6" t="str">
        <f>IFERROR(INDEX(Config_Puntos!$B$2:$B$18,MATCH(D375,Config_Puntos!$A$2:$A$18,0)),"")</f>
        <v/>
      </c>
      <c r="F375" s="13"/>
    </row>
    <row r="376" spans="1:6" x14ac:dyDescent="0.25">
      <c r="A376" s="13"/>
      <c r="B376" s="13"/>
      <c r="C376" s="13"/>
      <c r="D376" s="13"/>
      <c r="E376" s="6" t="str">
        <f>IFERROR(INDEX(Config_Puntos!$B$2:$B$18,MATCH(D376,Config_Puntos!$A$2:$A$18,0)),"")</f>
        <v/>
      </c>
      <c r="F376" s="13"/>
    </row>
    <row r="377" spans="1:6" x14ac:dyDescent="0.25">
      <c r="A377" s="13"/>
      <c r="B377" s="13"/>
      <c r="C377" s="13"/>
      <c r="D377" s="13"/>
      <c r="E377" s="6" t="str">
        <f>IFERROR(INDEX(Config_Puntos!$B$2:$B$18,MATCH(D377,Config_Puntos!$A$2:$A$18,0)),"")</f>
        <v/>
      </c>
      <c r="F377" s="13"/>
    </row>
    <row r="378" spans="1:6" x14ac:dyDescent="0.25">
      <c r="A378" s="13"/>
      <c r="B378" s="13"/>
      <c r="C378" s="13"/>
      <c r="D378" s="13"/>
      <c r="E378" s="6" t="str">
        <f>IFERROR(INDEX(Config_Puntos!$B$2:$B$18,MATCH(D378,Config_Puntos!$A$2:$A$18,0)),"")</f>
        <v/>
      </c>
      <c r="F378" s="13"/>
    </row>
    <row r="379" spans="1:6" x14ac:dyDescent="0.25">
      <c r="A379" s="13"/>
      <c r="B379" s="13"/>
      <c r="C379" s="13"/>
      <c r="D379" s="13"/>
      <c r="E379" s="6" t="str">
        <f>IFERROR(INDEX(Config_Puntos!$B$2:$B$18,MATCH(D379,Config_Puntos!$A$2:$A$18,0)),"")</f>
        <v/>
      </c>
      <c r="F379" s="13"/>
    </row>
    <row r="380" spans="1:6" x14ac:dyDescent="0.25">
      <c r="A380" s="13"/>
      <c r="B380" s="13"/>
      <c r="C380" s="13"/>
      <c r="D380" s="13"/>
      <c r="E380" s="6" t="str">
        <f>IFERROR(INDEX(Config_Puntos!$B$2:$B$18,MATCH(D380,Config_Puntos!$A$2:$A$18,0)),"")</f>
        <v/>
      </c>
      <c r="F380" s="13"/>
    </row>
    <row r="381" spans="1:6" x14ac:dyDescent="0.25">
      <c r="A381" s="13"/>
      <c r="B381" s="13"/>
      <c r="C381" s="13"/>
      <c r="D381" s="13"/>
      <c r="E381" s="6" t="str">
        <f>IFERROR(INDEX(Config_Puntos!$B$2:$B$18,MATCH(D381,Config_Puntos!$A$2:$A$18,0)),"")</f>
        <v/>
      </c>
      <c r="F381" s="13"/>
    </row>
    <row r="382" spans="1:6" x14ac:dyDescent="0.25">
      <c r="A382" s="13"/>
      <c r="B382" s="13"/>
      <c r="C382" s="13"/>
      <c r="D382" s="13"/>
      <c r="E382" s="6" t="str">
        <f>IFERROR(INDEX(Config_Puntos!$B$2:$B$18,MATCH(D382,Config_Puntos!$A$2:$A$18,0)),"")</f>
        <v/>
      </c>
      <c r="F382" s="13"/>
    </row>
    <row r="383" spans="1:6" x14ac:dyDescent="0.25">
      <c r="A383" s="13"/>
      <c r="B383" s="13"/>
      <c r="C383" s="13"/>
      <c r="D383" s="13"/>
      <c r="E383" s="6" t="str">
        <f>IFERROR(INDEX(Config_Puntos!$B$2:$B$18,MATCH(D383,Config_Puntos!$A$2:$A$18,0)),"")</f>
        <v/>
      </c>
      <c r="F383" s="13"/>
    </row>
    <row r="384" spans="1:6" x14ac:dyDescent="0.25">
      <c r="A384" s="13"/>
      <c r="B384" s="13"/>
      <c r="C384" s="13"/>
      <c r="D384" s="13"/>
      <c r="E384" s="6" t="str">
        <f>IFERROR(INDEX(Config_Puntos!$B$2:$B$18,MATCH(D384,Config_Puntos!$A$2:$A$18,0)),"")</f>
        <v/>
      </c>
      <c r="F384" s="13"/>
    </row>
    <row r="385" spans="1:6" x14ac:dyDescent="0.25">
      <c r="A385" s="13"/>
      <c r="B385" s="13"/>
      <c r="C385" s="13"/>
      <c r="D385" s="13"/>
      <c r="E385" s="6" t="str">
        <f>IFERROR(INDEX(Config_Puntos!$B$2:$B$18,MATCH(D385,Config_Puntos!$A$2:$A$18,0)),"")</f>
        <v/>
      </c>
      <c r="F385" s="13"/>
    </row>
    <row r="386" spans="1:6" x14ac:dyDescent="0.25">
      <c r="A386" s="13"/>
      <c r="B386" s="13"/>
      <c r="C386" s="13"/>
      <c r="D386" s="13"/>
      <c r="E386" s="6" t="str">
        <f>IFERROR(INDEX(Config_Puntos!$B$2:$B$18,MATCH(D386,Config_Puntos!$A$2:$A$18,0)),"")</f>
        <v/>
      </c>
      <c r="F386" s="13"/>
    </row>
    <row r="387" spans="1:6" x14ac:dyDescent="0.25">
      <c r="A387" s="13"/>
      <c r="B387" s="13"/>
      <c r="C387" s="13"/>
      <c r="D387" s="13"/>
      <c r="E387" s="6" t="str">
        <f>IFERROR(INDEX(Config_Puntos!$B$2:$B$18,MATCH(D387,Config_Puntos!$A$2:$A$18,0)),"")</f>
        <v/>
      </c>
      <c r="F387" s="13"/>
    </row>
    <row r="388" spans="1:6" x14ac:dyDescent="0.25">
      <c r="A388" s="13"/>
      <c r="B388" s="13"/>
      <c r="C388" s="13"/>
      <c r="D388" s="13"/>
      <c r="E388" s="6" t="str">
        <f>IFERROR(INDEX(Config_Puntos!$B$2:$B$18,MATCH(D388,Config_Puntos!$A$2:$A$18,0)),"")</f>
        <v/>
      </c>
      <c r="F388" s="13"/>
    </row>
    <row r="389" spans="1:6" x14ac:dyDescent="0.25">
      <c r="A389" s="13"/>
      <c r="B389" s="13"/>
      <c r="C389" s="13"/>
      <c r="D389" s="13"/>
      <c r="E389" s="6" t="str">
        <f>IFERROR(INDEX(Config_Puntos!$B$2:$B$18,MATCH(D389,Config_Puntos!$A$2:$A$18,0)),"")</f>
        <v/>
      </c>
      <c r="F389" s="13"/>
    </row>
    <row r="390" spans="1:6" x14ac:dyDescent="0.25">
      <c r="A390" s="13"/>
      <c r="B390" s="13"/>
      <c r="C390" s="13"/>
      <c r="D390" s="13"/>
      <c r="E390" s="6" t="str">
        <f>IFERROR(INDEX(Config_Puntos!$B$2:$B$18,MATCH(D390,Config_Puntos!$A$2:$A$18,0)),"")</f>
        <v/>
      </c>
      <c r="F390" s="13"/>
    </row>
    <row r="391" spans="1:6" x14ac:dyDescent="0.25">
      <c r="A391" s="13"/>
      <c r="B391" s="13"/>
      <c r="C391" s="13"/>
      <c r="D391" s="13"/>
      <c r="E391" s="6" t="str">
        <f>IFERROR(INDEX(Config_Puntos!$B$2:$B$18,MATCH(D391,Config_Puntos!$A$2:$A$18,0)),"")</f>
        <v/>
      </c>
      <c r="F391" s="13"/>
    </row>
    <row r="392" spans="1:6" x14ac:dyDescent="0.25">
      <c r="A392" s="13"/>
      <c r="B392" s="13"/>
      <c r="C392" s="13"/>
      <c r="D392" s="13"/>
      <c r="E392" s="6" t="str">
        <f>IFERROR(INDEX(Config_Puntos!$B$2:$B$18,MATCH(D392,Config_Puntos!$A$2:$A$18,0)),"")</f>
        <v/>
      </c>
      <c r="F392" s="13"/>
    </row>
    <row r="393" spans="1:6" x14ac:dyDescent="0.25">
      <c r="A393" s="13"/>
      <c r="B393" s="13"/>
      <c r="C393" s="13"/>
      <c r="D393" s="13"/>
      <c r="E393" s="6" t="str">
        <f>IFERROR(INDEX(Config_Puntos!$B$2:$B$18,MATCH(D393,Config_Puntos!$A$2:$A$18,0)),"")</f>
        <v/>
      </c>
      <c r="F393" s="13"/>
    </row>
    <row r="394" spans="1:6" x14ac:dyDescent="0.25">
      <c r="A394" s="13"/>
      <c r="B394" s="13"/>
      <c r="C394" s="13"/>
      <c r="D394" s="13"/>
      <c r="E394" s="6" t="str">
        <f>IFERROR(INDEX(Config_Puntos!$B$2:$B$18,MATCH(D394,Config_Puntos!$A$2:$A$18,0)),"")</f>
        <v/>
      </c>
      <c r="F394" s="13"/>
    </row>
    <row r="395" spans="1:6" x14ac:dyDescent="0.25">
      <c r="A395" s="13"/>
      <c r="B395" s="13"/>
      <c r="C395" s="13"/>
      <c r="D395" s="13"/>
      <c r="E395" s="6" t="str">
        <f>IFERROR(INDEX(Config_Puntos!$B$2:$B$18,MATCH(D395,Config_Puntos!$A$2:$A$18,0)),"")</f>
        <v/>
      </c>
      <c r="F395" s="13"/>
    </row>
    <row r="396" spans="1:6" x14ac:dyDescent="0.25">
      <c r="A396" s="13"/>
      <c r="B396" s="13"/>
      <c r="C396" s="13"/>
      <c r="D396" s="13"/>
      <c r="E396" s="6" t="str">
        <f>IFERROR(INDEX(Config_Puntos!$B$2:$B$18,MATCH(D396,Config_Puntos!$A$2:$A$18,0)),"")</f>
        <v/>
      </c>
      <c r="F396" s="13"/>
    </row>
    <row r="397" spans="1:6" x14ac:dyDescent="0.25">
      <c r="A397" s="13"/>
      <c r="B397" s="13"/>
      <c r="C397" s="13"/>
      <c r="D397" s="13"/>
      <c r="E397" s="6" t="str">
        <f>IFERROR(INDEX(Config_Puntos!$B$2:$B$18,MATCH(D397,Config_Puntos!$A$2:$A$18,0)),"")</f>
        <v/>
      </c>
      <c r="F397" s="13"/>
    </row>
    <row r="398" spans="1:6" x14ac:dyDescent="0.25">
      <c r="A398" s="13"/>
      <c r="B398" s="13"/>
      <c r="C398" s="13"/>
      <c r="D398" s="13"/>
      <c r="E398" s="6" t="str">
        <f>IFERROR(INDEX(Config_Puntos!$B$2:$B$18,MATCH(D398,Config_Puntos!$A$2:$A$18,0)),"")</f>
        <v/>
      </c>
      <c r="F398" s="13"/>
    </row>
    <row r="399" spans="1:6" x14ac:dyDescent="0.25">
      <c r="A399" s="13"/>
      <c r="B399" s="13"/>
      <c r="C399" s="13"/>
      <c r="D399" s="13"/>
      <c r="E399" s="6" t="str">
        <f>IFERROR(INDEX(Config_Puntos!$B$2:$B$18,MATCH(D399,Config_Puntos!$A$2:$A$18,0)),"")</f>
        <v/>
      </c>
      <c r="F399" s="13"/>
    </row>
    <row r="400" spans="1:6" x14ac:dyDescent="0.25">
      <c r="A400" s="13"/>
      <c r="B400" s="13"/>
      <c r="C400" s="13"/>
      <c r="D400" s="13"/>
      <c r="E400" s="6" t="str">
        <f>IFERROR(INDEX(Config_Puntos!$B$2:$B$18,MATCH(D400,Config_Puntos!$A$2:$A$18,0)),"")</f>
        <v/>
      </c>
      <c r="F400" s="13"/>
    </row>
    <row r="401" spans="1:6" x14ac:dyDescent="0.25">
      <c r="A401" s="13"/>
      <c r="B401" s="13"/>
      <c r="C401" s="13"/>
      <c r="D401" s="13"/>
      <c r="E401" s="6" t="str">
        <f>IFERROR(INDEX(Config_Puntos!$B$2:$B$18,MATCH(D401,Config_Puntos!$A$2:$A$18,0)),"")</f>
        <v/>
      </c>
      <c r="F401" s="13"/>
    </row>
  </sheetData>
  <dataValidations count="1">
    <dataValidation type="whole" allowBlank="1" showErrorMessage="1" errorTitle="Jornada invalida" error="Debe ser un numero entre 1 y 12" sqref="B2:B401" xr:uid="{00000000-0002-0000-0400-000000000000}">
      <formula1>1</formula1>
      <formula2>12</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showErrorMessage="1" errorTitle="Alumno invalido" error="Elige un alumno de la lista" xr:uid="{00000000-0002-0000-0400-000001000000}">
          <x14:formula1>
            <xm:f>Alumnos!$B$2:$B$25</xm:f>
          </x14:formula1>
          <x14:formula2>
            <xm:f>0</xm:f>
          </x14:formula2>
          <xm:sqref>C2:C401</xm:sqref>
        </x14:dataValidation>
        <x14:dataValidation type="list" allowBlank="1" showErrorMessage="1" errorTitle="Evento invalido" error="Elige un evento de la lista" xr:uid="{00000000-0002-0000-0400-000002000000}">
          <x14:formula1>
            <xm:f>Config_Puntos!$A$2:$A$18</xm:f>
          </x14:formula1>
          <x14:formula2>
            <xm:f>0</xm:f>
          </x14:formula2>
          <xm:sqref>D2:D401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289"/>
  <sheetViews>
    <sheetView zoomScaleNormal="100" workbookViewId="0">
      <pane xSplit="2" ySplit="1" topLeftCell="C2" activePane="bottomRight" state="frozen"/>
      <selection pane="topRight" activeCell="C1" sqref="C1"/>
      <selection pane="bottomLeft" activeCell="A2" sqref="A2"/>
      <selection pane="bottomRight" activeCell="F2" sqref="F2"/>
    </sheetView>
  </sheetViews>
  <sheetFormatPr baseColWidth="10" defaultColWidth="8.7109375" defaultRowHeight="15" x14ac:dyDescent="0.25"/>
  <cols>
    <col min="1" max="1" width="9" customWidth="1"/>
    <col min="2" max="2" width="16" customWidth="1"/>
    <col min="3" max="7" width="14" customWidth="1"/>
    <col min="8" max="8" width="14.5703125" bestFit="1" customWidth="1"/>
    <col min="9" max="13" width="3.42578125" bestFit="1" customWidth="1"/>
    <col min="14" max="14" width="11.28515625" customWidth="1"/>
    <col min="15" max="15" width="16" customWidth="1"/>
    <col min="16" max="16" width="14" customWidth="1"/>
    <col min="17" max="18" width="16" customWidth="1"/>
    <col min="19" max="19" width="24" customWidth="1"/>
  </cols>
  <sheetData>
    <row r="1" spans="1:19" ht="45.75" thickBot="1" x14ac:dyDescent="0.3">
      <c r="A1" s="5" t="s">
        <v>54</v>
      </c>
      <c r="B1" s="5" t="s">
        <v>63</v>
      </c>
      <c r="C1" s="5" t="s">
        <v>64</v>
      </c>
      <c r="D1" s="5" t="s">
        <v>65</v>
      </c>
      <c r="E1" s="5" t="s">
        <v>66</v>
      </c>
      <c r="F1" s="5" t="s">
        <v>67</v>
      </c>
      <c r="G1" s="5" t="s">
        <v>68</v>
      </c>
      <c r="H1" s="26" t="s">
        <v>69</v>
      </c>
      <c r="I1" s="37" t="s">
        <v>92</v>
      </c>
      <c r="J1" s="37" t="s">
        <v>93</v>
      </c>
      <c r="K1" s="37" t="s">
        <v>94</v>
      </c>
      <c r="L1" s="37" t="s">
        <v>95</v>
      </c>
      <c r="M1" s="37" t="s">
        <v>96</v>
      </c>
      <c r="N1" s="36" t="s">
        <v>91</v>
      </c>
      <c r="O1" s="5" t="s">
        <v>70</v>
      </c>
      <c r="P1" s="5" t="s">
        <v>71</v>
      </c>
      <c r="Q1" s="5" t="s">
        <v>55</v>
      </c>
      <c r="R1" s="5" t="s">
        <v>56</v>
      </c>
      <c r="S1" s="5" t="s">
        <v>72</v>
      </c>
    </row>
    <row r="2" spans="1:19" x14ac:dyDescent="0.25">
      <c r="A2" s="6">
        <v>1</v>
      </c>
      <c r="B2" s="13" t="str">
        <f>Alumnos!B2</f>
        <v>Alumno 1</v>
      </c>
      <c r="C2" s="13" t="str">
        <f>B2</f>
        <v>Alumno 1</v>
      </c>
      <c r="D2" s="13" t="s">
        <v>25</v>
      </c>
      <c r="E2" s="13" t="s">
        <v>26</v>
      </c>
      <c r="F2" s="13" t="s">
        <v>100</v>
      </c>
      <c r="G2" s="22" t="s">
        <v>32</v>
      </c>
      <c r="H2" s="24" t="s">
        <v>100</v>
      </c>
      <c r="I2" s="32">
        <f>VLOOKUP(C2,Alumnos!$B:$D,2,FALSE)</f>
        <v>25</v>
      </c>
      <c r="J2" s="32">
        <f>VLOOKUP(D2,Alumnos!$B:$D,2,FALSE)</f>
        <v>0</v>
      </c>
      <c r="K2" s="32">
        <f>VLOOKUP(E2,Alumnos!$B:$D,2,FALSE)</f>
        <v>0</v>
      </c>
      <c r="L2" s="32">
        <f>VLOOKUP(F2,Alumnos!$B:$D,2,FALSE)</f>
        <v>25</v>
      </c>
      <c r="M2" s="32">
        <f>VLOOKUP(G2,Alumnos!$B:$D,2,FALSE)</f>
        <v>0</v>
      </c>
      <c r="N2" s="6">
        <f>SUM(I2:M2)</f>
        <v>50</v>
      </c>
      <c r="O2" s="23" t="str">
        <f t="shared" ref="O2:O65" si="0">IF(OR($B2=$C2,$B2=$D2,$B2=$E2,$B2=$F2,$B2=$G2),"OK","FALTA")</f>
        <v>OK</v>
      </c>
      <c r="P2" s="6" t="str">
        <f t="shared" ref="P2:P65" si="1">IF(OR($H2=$C2,$H2=$D2,$H2=$E2,$H2=$F2,$H2=$G2),"OK","ERROR")</f>
        <v>OK</v>
      </c>
      <c r="Q2" s="12">
        <f>INDEX(Calendario!$B$5:$B$16,MATCH($A2,Calendario!$A$5:$A$16,0))</f>
        <v>46286</v>
      </c>
      <c r="R2" s="12">
        <f>INDEX(Calendario!$C$5:$C$16,MATCH($A2,Calendario!$A$5:$A$16,0))</f>
        <v>46299</v>
      </c>
      <c r="S2" s="6" t="str">
        <f t="shared" ref="S2:S65" si="2">TEXT(Q2,"DD/MM/YYYY")&amp;" - "&amp;TEXT(Q2+1,"DD/MM/YYYY")</f>
        <v>21/09/YYYY - 22/09/YYYY</v>
      </c>
    </row>
    <row r="3" spans="1:19" x14ac:dyDescent="0.25">
      <c r="A3" s="6">
        <v>1</v>
      </c>
      <c r="B3" s="13" t="str">
        <f>Alumnos!B3</f>
        <v>Alumno 2</v>
      </c>
      <c r="C3" s="13"/>
      <c r="D3" s="13"/>
      <c r="E3" s="13"/>
      <c r="F3" s="13"/>
      <c r="G3" s="22"/>
      <c r="H3" s="27"/>
      <c r="I3" s="33"/>
      <c r="J3" s="33"/>
      <c r="K3" s="33"/>
      <c r="L3" s="33"/>
      <c r="M3" s="33"/>
      <c r="N3" s="6"/>
      <c r="O3" s="23" t="str">
        <f t="shared" si="0"/>
        <v>FALTA</v>
      </c>
      <c r="P3" s="6" t="str">
        <f t="shared" si="1"/>
        <v>OK</v>
      </c>
      <c r="Q3" s="12">
        <f>INDEX(Calendario!$B$5:$B$16,MATCH($A3,Calendario!$A$5:$A$16,0))</f>
        <v>46286</v>
      </c>
      <c r="R3" s="12">
        <f>INDEX(Calendario!$C$5:$C$16,MATCH($A3,Calendario!$A$5:$A$16,0))</f>
        <v>46299</v>
      </c>
      <c r="S3" s="6" t="str">
        <f t="shared" si="2"/>
        <v>21/09/YYYY - 22/09/YYYY</v>
      </c>
    </row>
    <row r="4" spans="1:19" x14ac:dyDescent="0.25">
      <c r="A4" s="6">
        <v>1</v>
      </c>
      <c r="B4" s="13" t="str">
        <f>Alumnos!B4</f>
        <v>Alumno 3</v>
      </c>
      <c r="C4" s="13"/>
      <c r="D4" s="13"/>
      <c r="E4" s="13"/>
      <c r="F4" s="13"/>
      <c r="G4" s="22"/>
      <c r="H4" s="27"/>
      <c r="I4" s="33"/>
      <c r="J4" s="33"/>
      <c r="K4" s="33"/>
      <c r="L4" s="33"/>
      <c r="M4" s="33"/>
      <c r="N4" s="6"/>
      <c r="O4" s="23" t="str">
        <f t="shared" si="0"/>
        <v>FALTA</v>
      </c>
      <c r="P4" s="6" t="str">
        <f t="shared" si="1"/>
        <v>OK</v>
      </c>
      <c r="Q4" s="12">
        <f>INDEX(Calendario!$B$5:$B$16,MATCH($A4,Calendario!$A$5:$A$16,0))</f>
        <v>46286</v>
      </c>
      <c r="R4" s="12">
        <f>INDEX(Calendario!$C$5:$C$16,MATCH($A4,Calendario!$A$5:$A$16,0))</f>
        <v>46299</v>
      </c>
      <c r="S4" s="6" t="str">
        <f t="shared" si="2"/>
        <v>21/09/YYYY - 22/09/YYYY</v>
      </c>
    </row>
    <row r="5" spans="1:19" x14ac:dyDescent="0.25">
      <c r="A5" s="6">
        <v>1</v>
      </c>
      <c r="B5" s="13" t="str">
        <f>Alumnos!B5</f>
        <v>Alumno 4</v>
      </c>
      <c r="C5" s="13"/>
      <c r="D5" s="13"/>
      <c r="E5" s="13"/>
      <c r="F5" s="13"/>
      <c r="G5" s="22"/>
      <c r="H5" s="27"/>
      <c r="I5" s="33"/>
      <c r="J5" s="33"/>
      <c r="K5" s="33"/>
      <c r="L5" s="33"/>
      <c r="M5" s="33"/>
      <c r="N5" s="6"/>
      <c r="O5" s="23" t="str">
        <f t="shared" si="0"/>
        <v>FALTA</v>
      </c>
      <c r="P5" s="6" t="str">
        <f t="shared" si="1"/>
        <v>OK</v>
      </c>
      <c r="Q5" s="12">
        <f>INDEX(Calendario!$B$5:$B$16,MATCH($A5,Calendario!$A$5:$A$16,0))</f>
        <v>46286</v>
      </c>
      <c r="R5" s="12">
        <f>INDEX(Calendario!$C$5:$C$16,MATCH($A5,Calendario!$A$5:$A$16,0))</f>
        <v>46299</v>
      </c>
      <c r="S5" s="6" t="str">
        <f t="shared" si="2"/>
        <v>21/09/YYYY - 22/09/YYYY</v>
      </c>
    </row>
    <row r="6" spans="1:19" x14ac:dyDescent="0.25">
      <c r="A6" s="6">
        <v>1</v>
      </c>
      <c r="B6" s="13" t="str">
        <f>Alumnos!B6</f>
        <v>Alumno 5</v>
      </c>
      <c r="C6" s="13"/>
      <c r="D6" s="13"/>
      <c r="E6" s="13"/>
      <c r="F6" s="13"/>
      <c r="G6" s="22"/>
      <c r="H6" s="27"/>
      <c r="I6" s="33"/>
      <c r="J6" s="33"/>
      <c r="K6" s="33"/>
      <c r="L6" s="33"/>
      <c r="M6" s="33"/>
      <c r="N6" s="6"/>
      <c r="O6" s="23" t="str">
        <f t="shared" si="0"/>
        <v>FALTA</v>
      </c>
      <c r="P6" s="6" t="str">
        <f t="shared" si="1"/>
        <v>OK</v>
      </c>
      <c r="Q6" s="12">
        <f>INDEX(Calendario!$B$5:$B$16,MATCH($A6,Calendario!$A$5:$A$16,0))</f>
        <v>46286</v>
      </c>
      <c r="R6" s="12">
        <f>INDEX(Calendario!$C$5:$C$16,MATCH($A6,Calendario!$A$5:$A$16,0))</f>
        <v>46299</v>
      </c>
      <c r="S6" s="6" t="str">
        <f t="shared" si="2"/>
        <v>21/09/YYYY - 22/09/YYYY</v>
      </c>
    </row>
    <row r="7" spans="1:19" x14ac:dyDescent="0.25">
      <c r="A7" s="6">
        <v>1</v>
      </c>
      <c r="B7" s="13" t="str">
        <f>Alumnos!B7</f>
        <v>Alumno 6</v>
      </c>
      <c r="C7" s="13"/>
      <c r="D7" s="13"/>
      <c r="E7" s="13"/>
      <c r="F7" s="13"/>
      <c r="G7" s="22"/>
      <c r="H7" s="27"/>
      <c r="I7" s="33"/>
      <c r="J7" s="33"/>
      <c r="K7" s="33"/>
      <c r="L7" s="33"/>
      <c r="M7" s="33"/>
      <c r="N7" s="6"/>
      <c r="O7" s="23" t="str">
        <f t="shared" si="0"/>
        <v>FALTA</v>
      </c>
      <c r="P7" s="6" t="str">
        <f t="shared" si="1"/>
        <v>OK</v>
      </c>
      <c r="Q7" s="12">
        <f>INDEX(Calendario!$B$5:$B$16,MATCH($A7,Calendario!$A$5:$A$16,0))</f>
        <v>46286</v>
      </c>
      <c r="R7" s="12">
        <f>INDEX(Calendario!$C$5:$C$16,MATCH($A7,Calendario!$A$5:$A$16,0))</f>
        <v>46299</v>
      </c>
      <c r="S7" s="6" t="str">
        <f t="shared" si="2"/>
        <v>21/09/YYYY - 22/09/YYYY</v>
      </c>
    </row>
    <row r="8" spans="1:19" x14ac:dyDescent="0.25">
      <c r="A8" s="6">
        <v>1</v>
      </c>
      <c r="B8" s="13" t="str">
        <f>Alumnos!B8</f>
        <v>Alumno 7</v>
      </c>
      <c r="C8" s="13"/>
      <c r="D8" s="13"/>
      <c r="E8" s="13"/>
      <c r="F8" s="13"/>
      <c r="G8" s="22"/>
      <c r="H8" s="27"/>
      <c r="I8" s="33"/>
      <c r="J8" s="33"/>
      <c r="K8" s="33"/>
      <c r="L8" s="33"/>
      <c r="M8" s="33"/>
      <c r="N8" s="6"/>
      <c r="O8" s="23" t="str">
        <f t="shared" si="0"/>
        <v>FALTA</v>
      </c>
      <c r="P8" s="6" t="str">
        <f t="shared" si="1"/>
        <v>OK</v>
      </c>
      <c r="Q8" s="12">
        <f>INDEX(Calendario!$B$5:$B$16,MATCH($A8,Calendario!$A$5:$A$16,0))</f>
        <v>46286</v>
      </c>
      <c r="R8" s="12">
        <f>INDEX(Calendario!$C$5:$C$16,MATCH($A8,Calendario!$A$5:$A$16,0))</f>
        <v>46299</v>
      </c>
      <c r="S8" s="6" t="str">
        <f t="shared" si="2"/>
        <v>21/09/YYYY - 22/09/YYYY</v>
      </c>
    </row>
    <row r="9" spans="1:19" x14ac:dyDescent="0.25">
      <c r="A9" s="6">
        <v>1</v>
      </c>
      <c r="B9" s="13" t="str">
        <f>Alumnos!B9</f>
        <v>Alumno 8</v>
      </c>
      <c r="C9" s="13"/>
      <c r="D9" s="13"/>
      <c r="E9" s="13"/>
      <c r="F9" s="13"/>
      <c r="G9" s="22"/>
      <c r="H9" s="27"/>
      <c r="I9" s="33"/>
      <c r="J9" s="33"/>
      <c r="K9" s="33"/>
      <c r="L9" s="33"/>
      <c r="M9" s="33"/>
      <c r="N9" s="6"/>
      <c r="O9" s="23" t="str">
        <f t="shared" si="0"/>
        <v>FALTA</v>
      </c>
      <c r="P9" s="6" t="str">
        <f t="shared" si="1"/>
        <v>OK</v>
      </c>
      <c r="Q9" s="12">
        <f>INDEX(Calendario!$B$5:$B$16,MATCH($A9,Calendario!$A$5:$A$16,0))</f>
        <v>46286</v>
      </c>
      <c r="R9" s="12">
        <f>INDEX(Calendario!$C$5:$C$16,MATCH($A9,Calendario!$A$5:$A$16,0))</f>
        <v>46299</v>
      </c>
      <c r="S9" s="6" t="str">
        <f t="shared" si="2"/>
        <v>21/09/YYYY - 22/09/YYYY</v>
      </c>
    </row>
    <row r="10" spans="1:19" x14ac:dyDescent="0.25">
      <c r="A10" s="6">
        <v>1</v>
      </c>
      <c r="B10" s="13" t="str">
        <f>Alumnos!B10</f>
        <v>Alumno 9</v>
      </c>
      <c r="C10" s="13"/>
      <c r="D10" s="13"/>
      <c r="E10" s="13"/>
      <c r="F10" s="13"/>
      <c r="G10" s="22"/>
      <c r="H10" s="27"/>
      <c r="I10" s="33"/>
      <c r="J10" s="33"/>
      <c r="K10" s="33"/>
      <c r="L10" s="33"/>
      <c r="M10" s="33"/>
      <c r="N10" s="6"/>
      <c r="O10" s="23" t="str">
        <f t="shared" si="0"/>
        <v>FALTA</v>
      </c>
      <c r="P10" s="6" t="str">
        <f t="shared" si="1"/>
        <v>OK</v>
      </c>
      <c r="Q10" s="12">
        <f>INDEX(Calendario!$B$5:$B$16,MATCH($A10,Calendario!$A$5:$A$16,0))</f>
        <v>46286</v>
      </c>
      <c r="R10" s="12">
        <f>INDEX(Calendario!$C$5:$C$16,MATCH($A10,Calendario!$A$5:$A$16,0))</f>
        <v>46299</v>
      </c>
      <c r="S10" s="6" t="str">
        <f t="shared" si="2"/>
        <v>21/09/YYYY - 22/09/YYYY</v>
      </c>
    </row>
    <row r="11" spans="1:19" x14ac:dyDescent="0.25">
      <c r="A11" s="6">
        <v>1</v>
      </c>
      <c r="B11" s="13" t="str">
        <f>Alumnos!B11</f>
        <v>Alumno 10</v>
      </c>
      <c r="C11" s="13"/>
      <c r="D11" s="13"/>
      <c r="E11" s="13"/>
      <c r="F11" s="13"/>
      <c r="G11" s="22"/>
      <c r="H11" s="27"/>
      <c r="I11" s="33"/>
      <c r="J11" s="33"/>
      <c r="K11" s="33"/>
      <c r="L11" s="33"/>
      <c r="M11" s="33"/>
      <c r="N11" s="6"/>
      <c r="O11" s="23" t="str">
        <f t="shared" si="0"/>
        <v>FALTA</v>
      </c>
      <c r="P11" s="6" t="str">
        <f t="shared" si="1"/>
        <v>OK</v>
      </c>
      <c r="Q11" s="12">
        <f>INDEX(Calendario!$B$5:$B$16,MATCH($A11,Calendario!$A$5:$A$16,0))</f>
        <v>46286</v>
      </c>
      <c r="R11" s="12">
        <f>INDEX(Calendario!$C$5:$C$16,MATCH($A11,Calendario!$A$5:$A$16,0))</f>
        <v>46299</v>
      </c>
      <c r="S11" s="6" t="str">
        <f t="shared" si="2"/>
        <v>21/09/YYYY - 22/09/YYYY</v>
      </c>
    </row>
    <row r="12" spans="1:19" x14ac:dyDescent="0.25">
      <c r="A12" s="6">
        <v>1</v>
      </c>
      <c r="B12" s="13" t="str">
        <f>Alumnos!B12</f>
        <v>Alumno 11</v>
      </c>
      <c r="C12" s="13"/>
      <c r="D12" s="13"/>
      <c r="E12" s="13"/>
      <c r="F12" s="13"/>
      <c r="G12" s="22"/>
      <c r="H12" s="27"/>
      <c r="I12" s="33"/>
      <c r="J12" s="33"/>
      <c r="K12" s="33"/>
      <c r="L12" s="33"/>
      <c r="M12" s="33"/>
      <c r="N12" s="6"/>
      <c r="O12" s="23" t="str">
        <f t="shared" si="0"/>
        <v>FALTA</v>
      </c>
      <c r="P12" s="6" t="str">
        <f t="shared" si="1"/>
        <v>OK</v>
      </c>
      <c r="Q12" s="12">
        <f>INDEX(Calendario!$B$5:$B$16,MATCH($A12,Calendario!$A$5:$A$16,0))</f>
        <v>46286</v>
      </c>
      <c r="R12" s="12">
        <f>INDEX(Calendario!$C$5:$C$16,MATCH($A12,Calendario!$A$5:$A$16,0))</f>
        <v>46299</v>
      </c>
      <c r="S12" s="6" t="str">
        <f t="shared" si="2"/>
        <v>21/09/YYYY - 22/09/YYYY</v>
      </c>
    </row>
    <row r="13" spans="1:19" x14ac:dyDescent="0.25">
      <c r="A13" s="6">
        <v>1</v>
      </c>
      <c r="B13" s="13" t="str">
        <f>Alumnos!B13</f>
        <v>Alumno 12</v>
      </c>
      <c r="C13" s="13"/>
      <c r="D13" s="13"/>
      <c r="E13" s="13"/>
      <c r="F13" s="13"/>
      <c r="G13" s="22"/>
      <c r="H13" s="27"/>
      <c r="I13" s="33"/>
      <c r="J13" s="33"/>
      <c r="K13" s="33"/>
      <c r="L13" s="33"/>
      <c r="M13" s="33"/>
      <c r="N13" s="6"/>
      <c r="O13" s="23" t="str">
        <f t="shared" si="0"/>
        <v>FALTA</v>
      </c>
      <c r="P13" s="6" t="str">
        <f t="shared" si="1"/>
        <v>OK</v>
      </c>
      <c r="Q13" s="12">
        <f>INDEX(Calendario!$B$5:$B$16,MATCH($A13,Calendario!$A$5:$A$16,0))</f>
        <v>46286</v>
      </c>
      <c r="R13" s="12">
        <f>INDEX(Calendario!$C$5:$C$16,MATCH($A13,Calendario!$A$5:$A$16,0))</f>
        <v>46299</v>
      </c>
      <c r="S13" s="6" t="str">
        <f t="shared" si="2"/>
        <v>21/09/YYYY - 22/09/YYYY</v>
      </c>
    </row>
    <row r="14" spans="1:19" x14ac:dyDescent="0.25">
      <c r="A14" s="6">
        <v>1</v>
      </c>
      <c r="B14" s="13" t="str">
        <f>Alumnos!B14</f>
        <v>Alumno 13</v>
      </c>
      <c r="C14" s="13"/>
      <c r="D14" s="13"/>
      <c r="E14" s="13"/>
      <c r="F14" s="13"/>
      <c r="G14" s="22"/>
      <c r="H14" s="27"/>
      <c r="I14" s="33"/>
      <c r="J14" s="33"/>
      <c r="K14" s="33"/>
      <c r="L14" s="33"/>
      <c r="M14" s="33"/>
      <c r="N14" s="6"/>
      <c r="O14" s="23" t="str">
        <f t="shared" si="0"/>
        <v>FALTA</v>
      </c>
      <c r="P14" s="6" t="str">
        <f t="shared" si="1"/>
        <v>OK</v>
      </c>
      <c r="Q14" s="12">
        <f>INDEX(Calendario!$B$5:$B$16,MATCH($A14,Calendario!$A$5:$A$16,0))</f>
        <v>46286</v>
      </c>
      <c r="R14" s="12">
        <f>INDEX(Calendario!$C$5:$C$16,MATCH($A14,Calendario!$A$5:$A$16,0))</f>
        <v>46299</v>
      </c>
      <c r="S14" s="6" t="str">
        <f t="shared" si="2"/>
        <v>21/09/YYYY - 22/09/YYYY</v>
      </c>
    </row>
    <row r="15" spans="1:19" x14ac:dyDescent="0.25">
      <c r="A15" s="6">
        <v>1</v>
      </c>
      <c r="B15" s="13" t="str">
        <f>Alumnos!B15</f>
        <v>Alumno 14</v>
      </c>
      <c r="C15" s="13"/>
      <c r="D15" s="13"/>
      <c r="E15" s="13"/>
      <c r="F15" s="13"/>
      <c r="G15" s="22"/>
      <c r="H15" s="27"/>
      <c r="I15" s="33"/>
      <c r="J15" s="33"/>
      <c r="K15" s="33"/>
      <c r="L15" s="33"/>
      <c r="M15" s="33"/>
      <c r="N15" s="6"/>
      <c r="O15" s="23" t="str">
        <f t="shared" si="0"/>
        <v>FALTA</v>
      </c>
      <c r="P15" s="6" t="str">
        <f t="shared" si="1"/>
        <v>OK</v>
      </c>
      <c r="Q15" s="12">
        <f>INDEX(Calendario!$B$5:$B$16,MATCH($A15,Calendario!$A$5:$A$16,0))</f>
        <v>46286</v>
      </c>
      <c r="R15" s="12">
        <f>INDEX(Calendario!$C$5:$C$16,MATCH($A15,Calendario!$A$5:$A$16,0))</f>
        <v>46299</v>
      </c>
      <c r="S15" s="6" t="str">
        <f t="shared" si="2"/>
        <v>21/09/YYYY - 22/09/YYYY</v>
      </c>
    </row>
    <row r="16" spans="1:19" x14ac:dyDescent="0.25">
      <c r="A16" s="6">
        <v>1</v>
      </c>
      <c r="B16" s="13" t="str">
        <f>Alumnos!B16</f>
        <v>Alumno 15</v>
      </c>
      <c r="C16" s="13"/>
      <c r="D16" s="13"/>
      <c r="E16" s="13"/>
      <c r="F16" s="13"/>
      <c r="G16" s="22"/>
      <c r="H16" s="27"/>
      <c r="I16" s="33"/>
      <c r="J16" s="33"/>
      <c r="K16" s="33"/>
      <c r="L16" s="33"/>
      <c r="M16" s="33"/>
      <c r="N16" s="6"/>
      <c r="O16" s="23" t="str">
        <f t="shared" si="0"/>
        <v>FALTA</v>
      </c>
      <c r="P16" s="6" t="str">
        <f t="shared" si="1"/>
        <v>OK</v>
      </c>
      <c r="Q16" s="12">
        <f>INDEX(Calendario!$B$5:$B$16,MATCH($A16,Calendario!$A$5:$A$16,0))</f>
        <v>46286</v>
      </c>
      <c r="R16" s="12">
        <f>INDEX(Calendario!$C$5:$C$16,MATCH($A16,Calendario!$A$5:$A$16,0))</f>
        <v>46299</v>
      </c>
      <c r="S16" s="6" t="str">
        <f t="shared" si="2"/>
        <v>21/09/YYYY - 22/09/YYYY</v>
      </c>
    </row>
    <row r="17" spans="1:19" x14ac:dyDescent="0.25">
      <c r="A17" s="6">
        <v>1</v>
      </c>
      <c r="B17" s="13" t="str">
        <f>Alumnos!B17</f>
        <v>Alumno 16</v>
      </c>
      <c r="C17" s="13"/>
      <c r="D17" s="13"/>
      <c r="E17" s="13"/>
      <c r="F17" s="13"/>
      <c r="G17" s="22"/>
      <c r="H17" s="27"/>
      <c r="I17" s="33"/>
      <c r="J17" s="33"/>
      <c r="K17" s="33"/>
      <c r="L17" s="33"/>
      <c r="M17" s="33"/>
      <c r="N17" s="6"/>
      <c r="O17" s="23" t="str">
        <f t="shared" si="0"/>
        <v>FALTA</v>
      </c>
      <c r="P17" s="6" t="str">
        <f t="shared" si="1"/>
        <v>OK</v>
      </c>
      <c r="Q17" s="12">
        <f>INDEX(Calendario!$B$5:$B$16,MATCH($A17,Calendario!$A$5:$A$16,0))</f>
        <v>46286</v>
      </c>
      <c r="R17" s="12">
        <f>INDEX(Calendario!$C$5:$C$16,MATCH($A17,Calendario!$A$5:$A$16,0))</f>
        <v>46299</v>
      </c>
      <c r="S17" s="6" t="str">
        <f t="shared" si="2"/>
        <v>21/09/YYYY - 22/09/YYYY</v>
      </c>
    </row>
    <row r="18" spans="1:19" x14ac:dyDescent="0.25">
      <c r="A18" s="6">
        <v>1</v>
      </c>
      <c r="B18" s="13" t="str">
        <f>Alumnos!B18</f>
        <v>Alumno 17</v>
      </c>
      <c r="C18" s="13"/>
      <c r="D18" s="13"/>
      <c r="E18" s="13"/>
      <c r="F18" s="13"/>
      <c r="G18" s="22"/>
      <c r="H18" s="27"/>
      <c r="I18" s="33"/>
      <c r="J18" s="33"/>
      <c r="K18" s="33"/>
      <c r="L18" s="33"/>
      <c r="M18" s="33"/>
      <c r="N18" s="6"/>
      <c r="O18" s="23" t="str">
        <f t="shared" si="0"/>
        <v>FALTA</v>
      </c>
      <c r="P18" s="6" t="str">
        <f t="shared" si="1"/>
        <v>OK</v>
      </c>
      <c r="Q18" s="12">
        <f>INDEX(Calendario!$B$5:$B$16,MATCH($A18,Calendario!$A$5:$A$16,0))</f>
        <v>46286</v>
      </c>
      <c r="R18" s="12">
        <f>INDEX(Calendario!$C$5:$C$16,MATCH($A18,Calendario!$A$5:$A$16,0))</f>
        <v>46299</v>
      </c>
      <c r="S18" s="6" t="str">
        <f t="shared" si="2"/>
        <v>21/09/YYYY - 22/09/YYYY</v>
      </c>
    </row>
    <row r="19" spans="1:19" x14ac:dyDescent="0.25">
      <c r="A19" s="6">
        <v>1</v>
      </c>
      <c r="B19" s="13" t="str">
        <f>Alumnos!B19</f>
        <v>Alumno 18</v>
      </c>
      <c r="C19" s="13"/>
      <c r="D19" s="13"/>
      <c r="E19" s="13"/>
      <c r="F19" s="13"/>
      <c r="G19" s="22"/>
      <c r="H19" s="27"/>
      <c r="I19" s="33"/>
      <c r="J19" s="33"/>
      <c r="K19" s="33"/>
      <c r="L19" s="33"/>
      <c r="M19" s="33"/>
      <c r="N19" s="6"/>
      <c r="O19" s="23" t="str">
        <f t="shared" si="0"/>
        <v>FALTA</v>
      </c>
      <c r="P19" s="6" t="str">
        <f t="shared" si="1"/>
        <v>OK</v>
      </c>
      <c r="Q19" s="12">
        <f>INDEX(Calendario!$B$5:$B$16,MATCH($A19,Calendario!$A$5:$A$16,0))</f>
        <v>46286</v>
      </c>
      <c r="R19" s="12">
        <f>INDEX(Calendario!$C$5:$C$16,MATCH($A19,Calendario!$A$5:$A$16,0))</f>
        <v>46299</v>
      </c>
      <c r="S19" s="6" t="str">
        <f t="shared" si="2"/>
        <v>21/09/YYYY - 22/09/YYYY</v>
      </c>
    </row>
    <row r="20" spans="1:19" x14ac:dyDescent="0.25">
      <c r="A20" s="6">
        <v>1</v>
      </c>
      <c r="B20" s="13" t="str">
        <f>Alumnos!B20</f>
        <v>Alumno 19</v>
      </c>
      <c r="C20" s="13"/>
      <c r="D20" s="13"/>
      <c r="E20" s="13"/>
      <c r="F20" s="13"/>
      <c r="G20" s="22"/>
      <c r="H20" s="27"/>
      <c r="I20" s="33"/>
      <c r="J20" s="33"/>
      <c r="K20" s="33"/>
      <c r="L20" s="33"/>
      <c r="M20" s="33"/>
      <c r="N20" s="6"/>
      <c r="O20" s="23" t="str">
        <f t="shared" si="0"/>
        <v>FALTA</v>
      </c>
      <c r="P20" s="6" t="str">
        <f t="shared" si="1"/>
        <v>OK</v>
      </c>
      <c r="Q20" s="12">
        <f>INDEX(Calendario!$B$5:$B$16,MATCH($A20,Calendario!$A$5:$A$16,0))</f>
        <v>46286</v>
      </c>
      <c r="R20" s="12">
        <f>INDEX(Calendario!$C$5:$C$16,MATCH($A20,Calendario!$A$5:$A$16,0))</f>
        <v>46299</v>
      </c>
      <c r="S20" s="6" t="str">
        <f t="shared" si="2"/>
        <v>21/09/YYYY - 22/09/YYYY</v>
      </c>
    </row>
    <row r="21" spans="1:19" x14ac:dyDescent="0.25">
      <c r="A21" s="6">
        <v>1</v>
      </c>
      <c r="B21" s="13" t="str">
        <f>Alumnos!B21</f>
        <v>Alumno 20</v>
      </c>
      <c r="C21" s="13"/>
      <c r="D21" s="13"/>
      <c r="E21" s="13"/>
      <c r="F21" s="13"/>
      <c r="G21" s="22"/>
      <c r="H21" s="27"/>
      <c r="I21" s="33"/>
      <c r="J21" s="33"/>
      <c r="K21" s="33"/>
      <c r="L21" s="33"/>
      <c r="M21" s="33"/>
      <c r="N21" s="6"/>
      <c r="O21" s="23" t="str">
        <f t="shared" si="0"/>
        <v>FALTA</v>
      </c>
      <c r="P21" s="6" t="str">
        <f t="shared" si="1"/>
        <v>OK</v>
      </c>
      <c r="Q21" s="12">
        <f>INDEX(Calendario!$B$5:$B$16,MATCH($A21,Calendario!$A$5:$A$16,0))</f>
        <v>46286</v>
      </c>
      <c r="R21" s="12">
        <f>INDEX(Calendario!$C$5:$C$16,MATCH($A21,Calendario!$A$5:$A$16,0))</f>
        <v>46299</v>
      </c>
      <c r="S21" s="6" t="str">
        <f t="shared" si="2"/>
        <v>21/09/YYYY - 22/09/YYYY</v>
      </c>
    </row>
    <row r="22" spans="1:19" x14ac:dyDescent="0.25">
      <c r="A22" s="6">
        <v>1</v>
      </c>
      <c r="B22" s="13" t="str">
        <f>Alumnos!B22</f>
        <v>Alumno 21</v>
      </c>
      <c r="C22" s="13"/>
      <c r="D22" s="13"/>
      <c r="E22" s="13"/>
      <c r="F22" s="13"/>
      <c r="G22" s="22"/>
      <c r="H22" s="27"/>
      <c r="I22" s="33"/>
      <c r="J22" s="33"/>
      <c r="K22" s="33"/>
      <c r="L22" s="33"/>
      <c r="M22" s="33"/>
      <c r="N22" s="6"/>
      <c r="O22" s="23" t="str">
        <f t="shared" si="0"/>
        <v>FALTA</v>
      </c>
      <c r="P22" s="6" t="str">
        <f t="shared" si="1"/>
        <v>OK</v>
      </c>
      <c r="Q22" s="12">
        <f>INDEX(Calendario!$B$5:$B$16,MATCH($A22,Calendario!$A$5:$A$16,0))</f>
        <v>46286</v>
      </c>
      <c r="R22" s="12">
        <f>INDEX(Calendario!$C$5:$C$16,MATCH($A22,Calendario!$A$5:$A$16,0))</f>
        <v>46299</v>
      </c>
      <c r="S22" s="6" t="str">
        <f t="shared" si="2"/>
        <v>21/09/YYYY - 22/09/YYYY</v>
      </c>
    </row>
    <row r="23" spans="1:19" x14ac:dyDescent="0.25">
      <c r="A23" s="6">
        <v>1</v>
      </c>
      <c r="B23" s="13" t="str">
        <f>Alumnos!B23</f>
        <v>Alumno 22</v>
      </c>
      <c r="C23" s="13"/>
      <c r="D23" s="13"/>
      <c r="E23" s="13"/>
      <c r="F23" s="13"/>
      <c r="G23" s="22"/>
      <c r="H23" s="27"/>
      <c r="I23" s="33"/>
      <c r="J23" s="33"/>
      <c r="K23" s="33"/>
      <c r="L23" s="33"/>
      <c r="M23" s="33"/>
      <c r="N23" s="6"/>
      <c r="O23" s="23" t="str">
        <f t="shared" si="0"/>
        <v>FALTA</v>
      </c>
      <c r="P23" s="6" t="str">
        <f t="shared" si="1"/>
        <v>OK</v>
      </c>
      <c r="Q23" s="12">
        <f>INDEX(Calendario!$B$5:$B$16,MATCH($A23,Calendario!$A$5:$A$16,0))</f>
        <v>46286</v>
      </c>
      <c r="R23" s="12">
        <f>INDEX(Calendario!$C$5:$C$16,MATCH($A23,Calendario!$A$5:$A$16,0))</f>
        <v>46299</v>
      </c>
      <c r="S23" s="6" t="str">
        <f t="shared" si="2"/>
        <v>21/09/YYYY - 22/09/YYYY</v>
      </c>
    </row>
    <row r="24" spans="1:19" x14ac:dyDescent="0.25">
      <c r="A24" s="6">
        <v>1</v>
      </c>
      <c r="B24" s="13" t="str">
        <f>Alumnos!B24</f>
        <v>Alumno 23</v>
      </c>
      <c r="C24" s="13"/>
      <c r="D24" s="13"/>
      <c r="E24" s="13"/>
      <c r="F24" s="13"/>
      <c r="G24" s="22"/>
      <c r="H24" s="27"/>
      <c r="I24" s="33"/>
      <c r="J24" s="33"/>
      <c r="K24" s="33"/>
      <c r="L24" s="33"/>
      <c r="M24" s="33"/>
      <c r="N24" s="6"/>
      <c r="O24" s="23" t="str">
        <f t="shared" si="0"/>
        <v>FALTA</v>
      </c>
      <c r="P24" s="6" t="str">
        <f t="shared" si="1"/>
        <v>OK</v>
      </c>
      <c r="Q24" s="12">
        <f>INDEX(Calendario!$B$5:$B$16,MATCH($A24,Calendario!$A$5:$A$16,0))</f>
        <v>46286</v>
      </c>
      <c r="R24" s="12">
        <f>INDEX(Calendario!$C$5:$C$16,MATCH($A24,Calendario!$A$5:$A$16,0))</f>
        <v>46299</v>
      </c>
      <c r="S24" s="6" t="str">
        <f t="shared" si="2"/>
        <v>21/09/YYYY - 22/09/YYYY</v>
      </c>
    </row>
    <row r="25" spans="1:19" x14ac:dyDescent="0.25">
      <c r="A25" s="6">
        <v>1</v>
      </c>
      <c r="B25" s="13" t="str">
        <f>Alumnos!B25</f>
        <v>Alumno 24</v>
      </c>
      <c r="C25" s="13"/>
      <c r="D25" s="13"/>
      <c r="E25" s="13"/>
      <c r="F25" s="13"/>
      <c r="G25" s="22"/>
      <c r="H25" s="27"/>
      <c r="I25" s="33"/>
      <c r="J25" s="33"/>
      <c r="K25" s="33"/>
      <c r="L25" s="33"/>
      <c r="M25" s="33"/>
      <c r="N25" s="6"/>
      <c r="O25" s="23" t="str">
        <f t="shared" si="0"/>
        <v>FALTA</v>
      </c>
      <c r="P25" s="6" t="str">
        <f t="shared" si="1"/>
        <v>OK</v>
      </c>
      <c r="Q25" s="12">
        <f>INDEX(Calendario!$B$5:$B$16,MATCH($A25,Calendario!$A$5:$A$16,0))</f>
        <v>46286</v>
      </c>
      <c r="R25" s="12">
        <f>INDEX(Calendario!$C$5:$C$16,MATCH($A25,Calendario!$A$5:$A$16,0))</f>
        <v>46299</v>
      </c>
      <c r="S25" s="6" t="str">
        <f t="shared" si="2"/>
        <v>21/09/YYYY - 22/09/YYYY</v>
      </c>
    </row>
    <row r="26" spans="1:19" x14ac:dyDescent="0.25">
      <c r="A26" s="20">
        <v>2</v>
      </c>
      <c r="B26" s="21" t="str">
        <f>Alumnos!B2</f>
        <v>Alumno 1</v>
      </c>
      <c r="C26" s="21"/>
      <c r="D26" s="21"/>
      <c r="E26" s="21"/>
      <c r="F26" s="21"/>
      <c r="G26" s="25"/>
      <c r="H26" s="28"/>
      <c r="I26" s="34"/>
      <c r="J26" s="34"/>
      <c r="K26" s="34"/>
      <c r="L26" s="34"/>
      <c r="M26" s="34"/>
      <c r="N26" s="20"/>
      <c r="O26" s="23" t="str">
        <f t="shared" si="0"/>
        <v>FALTA</v>
      </c>
      <c r="P26" s="6" t="str">
        <f t="shared" si="1"/>
        <v>OK</v>
      </c>
      <c r="Q26" s="12">
        <f>INDEX(Calendario!$B$5:$B$16,MATCH($A26,Calendario!$A$5:$A$16,0))</f>
        <v>46300</v>
      </c>
      <c r="R26" s="12">
        <f>INDEX(Calendario!$C$5:$C$16,MATCH($A26,Calendario!$A$5:$A$16,0))</f>
        <v>46313</v>
      </c>
      <c r="S26" s="6" t="str">
        <f t="shared" si="2"/>
        <v>05/10/YYYY - 06/10/YYYY</v>
      </c>
    </row>
    <row r="27" spans="1:19" x14ac:dyDescent="0.25">
      <c r="A27" s="6">
        <v>2</v>
      </c>
      <c r="B27" s="13" t="str">
        <f>Alumnos!B3</f>
        <v>Alumno 2</v>
      </c>
      <c r="C27" s="13"/>
      <c r="D27" s="13"/>
      <c r="E27" s="13"/>
      <c r="F27" s="13"/>
      <c r="G27" s="22"/>
      <c r="H27" s="27"/>
      <c r="I27" s="33"/>
      <c r="J27" s="33"/>
      <c r="K27" s="33"/>
      <c r="L27" s="33"/>
      <c r="M27" s="33"/>
      <c r="N27" s="6"/>
      <c r="O27" s="23" t="str">
        <f t="shared" si="0"/>
        <v>FALTA</v>
      </c>
      <c r="P27" s="6" t="str">
        <f t="shared" si="1"/>
        <v>OK</v>
      </c>
      <c r="Q27" s="12">
        <f>INDEX(Calendario!$B$5:$B$16,MATCH($A27,Calendario!$A$5:$A$16,0))</f>
        <v>46300</v>
      </c>
      <c r="R27" s="12">
        <f>INDEX(Calendario!$C$5:$C$16,MATCH($A27,Calendario!$A$5:$A$16,0))</f>
        <v>46313</v>
      </c>
      <c r="S27" s="6" t="str">
        <f t="shared" si="2"/>
        <v>05/10/YYYY - 06/10/YYYY</v>
      </c>
    </row>
    <row r="28" spans="1:19" x14ac:dyDescent="0.25">
      <c r="A28" s="6">
        <v>2</v>
      </c>
      <c r="B28" s="13" t="str">
        <f>Alumnos!B4</f>
        <v>Alumno 3</v>
      </c>
      <c r="C28" s="13"/>
      <c r="D28" s="13"/>
      <c r="E28" s="13"/>
      <c r="F28" s="13"/>
      <c r="G28" s="22"/>
      <c r="H28" s="27"/>
      <c r="I28" s="33"/>
      <c r="J28" s="33"/>
      <c r="K28" s="33"/>
      <c r="L28" s="33"/>
      <c r="M28" s="33"/>
      <c r="N28" s="6"/>
      <c r="O28" s="23" t="str">
        <f t="shared" si="0"/>
        <v>FALTA</v>
      </c>
      <c r="P28" s="6" t="str">
        <f t="shared" si="1"/>
        <v>OK</v>
      </c>
      <c r="Q28" s="12">
        <f>INDEX(Calendario!$B$5:$B$16,MATCH($A28,Calendario!$A$5:$A$16,0))</f>
        <v>46300</v>
      </c>
      <c r="R28" s="12">
        <f>INDEX(Calendario!$C$5:$C$16,MATCH($A28,Calendario!$A$5:$A$16,0))</f>
        <v>46313</v>
      </c>
      <c r="S28" s="6" t="str">
        <f t="shared" si="2"/>
        <v>05/10/YYYY - 06/10/YYYY</v>
      </c>
    </row>
    <row r="29" spans="1:19" x14ac:dyDescent="0.25">
      <c r="A29" s="6">
        <v>2</v>
      </c>
      <c r="B29" s="13" t="str">
        <f>Alumnos!B5</f>
        <v>Alumno 4</v>
      </c>
      <c r="C29" s="13"/>
      <c r="D29" s="13"/>
      <c r="E29" s="13"/>
      <c r="F29" s="13"/>
      <c r="G29" s="22"/>
      <c r="H29" s="27"/>
      <c r="I29" s="33"/>
      <c r="J29" s="33"/>
      <c r="K29" s="33"/>
      <c r="L29" s="33"/>
      <c r="M29" s="33"/>
      <c r="N29" s="6"/>
      <c r="O29" s="23" t="str">
        <f t="shared" si="0"/>
        <v>FALTA</v>
      </c>
      <c r="P29" s="6" t="str">
        <f t="shared" si="1"/>
        <v>OK</v>
      </c>
      <c r="Q29" s="12">
        <f>INDEX(Calendario!$B$5:$B$16,MATCH($A29,Calendario!$A$5:$A$16,0))</f>
        <v>46300</v>
      </c>
      <c r="R29" s="12">
        <f>INDEX(Calendario!$C$5:$C$16,MATCH($A29,Calendario!$A$5:$A$16,0))</f>
        <v>46313</v>
      </c>
      <c r="S29" s="6" t="str">
        <f t="shared" si="2"/>
        <v>05/10/YYYY - 06/10/YYYY</v>
      </c>
    </row>
    <row r="30" spans="1:19" x14ac:dyDescent="0.25">
      <c r="A30" s="6">
        <v>2</v>
      </c>
      <c r="B30" s="13" t="str">
        <f>Alumnos!B6</f>
        <v>Alumno 5</v>
      </c>
      <c r="C30" s="13"/>
      <c r="D30" s="13"/>
      <c r="E30" s="13"/>
      <c r="F30" s="13"/>
      <c r="G30" s="22"/>
      <c r="H30" s="27"/>
      <c r="I30" s="33"/>
      <c r="J30" s="33"/>
      <c r="K30" s="33"/>
      <c r="L30" s="33"/>
      <c r="M30" s="33"/>
      <c r="N30" s="6"/>
      <c r="O30" s="23" t="str">
        <f t="shared" si="0"/>
        <v>FALTA</v>
      </c>
      <c r="P30" s="6" t="str">
        <f t="shared" si="1"/>
        <v>OK</v>
      </c>
      <c r="Q30" s="12">
        <f>INDEX(Calendario!$B$5:$B$16,MATCH($A30,Calendario!$A$5:$A$16,0))</f>
        <v>46300</v>
      </c>
      <c r="R30" s="12">
        <f>INDEX(Calendario!$C$5:$C$16,MATCH($A30,Calendario!$A$5:$A$16,0))</f>
        <v>46313</v>
      </c>
      <c r="S30" s="6" t="str">
        <f t="shared" si="2"/>
        <v>05/10/YYYY - 06/10/YYYY</v>
      </c>
    </row>
    <row r="31" spans="1:19" x14ac:dyDescent="0.25">
      <c r="A31" s="6">
        <v>2</v>
      </c>
      <c r="B31" s="13" t="str">
        <f>Alumnos!B7</f>
        <v>Alumno 6</v>
      </c>
      <c r="C31" s="13"/>
      <c r="D31" s="13"/>
      <c r="E31" s="13"/>
      <c r="F31" s="13"/>
      <c r="G31" s="22"/>
      <c r="H31" s="27"/>
      <c r="I31" s="33"/>
      <c r="J31" s="33"/>
      <c r="K31" s="33"/>
      <c r="L31" s="33"/>
      <c r="M31" s="33"/>
      <c r="N31" s="6"/>
      <c r="O31" s="23" t="str">
        <f t="shared" si="0"/>
        <v>FALTA</v>
      </c>
      <c r="P31" s="6" t="str">
        <f t="shared" si="1"/>
        <v>OK</v>
      </c>
      <c r="Q31" s="12">
        <f>INDEX(Calendario!$B$5:$B$16,MATCH($A31,Calendario!$A$5:$A$16,0))</f>
        <v>46300</v>
      </c>
      <c r="R31" s="12">
        <f>INDEX(Calendario!$C$5:$C$16,MATCH($A31,Calendario!$A$5:$A$16,0))</f>
        <v>46313</v>
      </c>
      <c r="S31" s="6" t="str">
        <f t="shared" si="2"/>
        <v>05/10/YYYY - 06/10/YYYY</v>
      </c>
    </row>
    <row r="32" spans="1:19" x14ac:dyDescent="0.25">
      <c r="A32" s="6">
        <v>2</v>
      </c>
      <c r="B32" s="13" t="str">
        <f>Alumnos!B8</f>
        <v>Alumno 7</v>
      </c>
      <c r="C32" s="13"/>
      <c r="D32" s="13"/>
      <c r="E32" s="13"/>
      <c r="F32" s="13"/>
      <c r="G32" s="22"/>
      <c r="H32" s="27"/>
      <c r="I32" s="33"/>
      <c r="J32" s="33"/>
      <c r="K32" s="33"/>
      <c r="L32" s="33"/>
      <c r="M32" s="33"/>
      <c r="N32" s="6"/>
      <c r="O32" s="23" t="str">
        <f t="shared" si="0"/>
        <v>FALTA</v>
      </c>
      <c r="P32" s="6" t="str">
        <f t="shared" si="1"/>
        <v>OK</v>
      </c>
      <c r="Q32" s="12">
        <f>INDEX(Calendario!$B$5:$B$16,MATCH($A32,Calendario!$A$5:$A$16,0))</f>
        <v>46300</v>
      </c>
      <c r="R32" s="12">
        <f>INDEX(Calendario!$C$5:$C$16,MATCH($A32,Calendario!$A$5:$A$16,0))</f>
        <v>46313</v>
      </c>
      <c r="S32" s="6" t="str">
        <f t="shared" si="2"/>
        <v>05/10/YYYY - 06/10/YYYY</v>
      </c>
    </row>
    <row r="33" spans="1:19" x14ac:dyDescent="0.25">
      <c r="A33" s="6">
        <v>2</v>
      </c>
      <c r="B33" s="13" t="str">
        <f>Alumnos!B9</f>
        <v>Alumno 8</v>
      </c>
      <c r="C33" s="13"/>
      <c r="D33" s="13"/>
      <c r="E33" s="13"/>
      <c r="F33" s="13"/>
      <c r="G33" s="22"/>
      <c r="H33" s="27"/>
      <c r="I33" s="33"/>
      <c r="J33" s="33"/>
      <c r="K33" s="33"/>
      <c r="L33" s="33"/>
      <c r="M33" s="33"/>
      <c r="N33" s="6"/>
      <c r="O33" s="23" t="str">
        <f t="shared" si="0"/>
        <v>FALTA</v>
      </c>
      <c r="P33" s="6" t="str">
        <f t="shared" si="1"/>
        <v>OK</v>
      </c>
      <c r="Q33" s="12">
        <f>INDEX(Calendario!$B$5:$B$16,MATCH($A33,Calendario!$A$5:$A$16,0))</f>
        <v>46300</v>
      </c>
      <c r="R33" s="12">
        <f>INDEX(Calendario!$C$5:$C$16,MATCH($A33,Calendario!$A$5:$A$16,0))</f>
        <v>46313</v>
      </c>
      <c r="S33" s="6" t="str">
        <f t="shared" si="2"/>
        <v>05/10/YYYY - 06/10/YYYY</v>
      </c>
    </row>
    <row r="34" spans="1:19" x14ac:dyDescent="0.25">
      <c r="A34" s="6">
        <v>2</v>
      </c>
      <c r="B34" s="13" t="str">
        <f>Alumnos!B10</f>
        <v>Alumno 9</v>
      </c>
      <c r="C34" s="13"/>
      <c r="D34" s="13"/>
      <c r="E34" s="13"/>
      <c r="F34" s="13"/>
      <c r="G34" s="22"/>
      <c r="H34" s="27"/>
      <c r="I34" s="33"/>
      <c r="J34" s="33"/>
      <c r="K34" s="33"/>
      <c r="L34" s="33"/>
      <c r="M34" s="33"/>
      <c r="N34" s="6"/>
      <c r="O34" s="23" t="str">
        <f t="shared" si="0"/>
        <v>FALTA</v>
      </c>
      <c r="P34" s="6" t="str">
        <f t="shared" si="1"/>
        <v>OK</v>
      </c>
      <c r="Q34" s="12">
        <f>INDEX(Calendario!$B$5:$B$16,MATCH($A34,Calendario!$A$5:$A$16,0))</f>
        <v>46300</v>
      </c>
      <c r="R34" s="12">
        <f>INDEX(Calendario!$C$5:$C$16,MATCH($A34,Calendario!$A$5:$A$16,0))</f>
        <v>46313</v>
      </c>
      <c r="S34" s="6" t="str">
        <f t="shared" si="2"/>
        <v>05/10/YYYY - 06/10/YYYY</v>
      </c>
    </row>
    <row r="35" spans="1:19" x14ac:dyDescent="0.25">
      <c r="A35" s="6">
        <v>2</v>
      </c>
      <c r="B35" s="13" t="str">
        <f>Alumnos!B11</f>
        <v>Alumno 10</v>
      </c>
      <c r="C35" s="13"/>
      <c r="D35" s="13"/>
      <c r="E35" s="13"/>
      <c r="F35" s="13"/>
      <c r="G35" s="22"/>
      <c r="H35" s="27"/>
      <c r="I35" s="33"/>
      <c r="J35" s="33"/>
      <c r="K35" s="33"/>
      <c r="L35" s="33"/>
      <c r="M35" s="33"/>
      <c r="N35" s="6"/>
      <c r="O35" s="23" t="str">
        <f t="shared" si="0"/>
        <v>FALTA</v>
      </c>
      <c r="P35" s="6" t="str">
        <f t="shared" si="1"/>
        <v>OK</v>
      </c>
      <c r="Q35" s="12">
        <f>INDEX(Calendario!$B$5:$B$16,MATCH($A35,Calendario!$A$5:$A$16,0))</f>
        <v>46300</v>
      </c>
      <c r="R35" s="12">
        <f>INDEX(Calendario!$C$5:$C$16,MATCH($A35,Calendario!$A$5:$A$16,0))</f>
        <v>46313</v>
      </c>
      <c r="S35" s="6" t="str">
        <f t="shared" si="2"/>
        <v>05/10/YYYY - 06/10/YYYY</v>
      </c>
    </row>
    <row r="36" spans="1:19" x14ac:dyDescent="0.25">
      <c r="A36" s="6">
        <v>2</v>
      </c>
      <c r="B36" s="13" t="str">
        <f>Alumnos!B12</f>
        <v>Alumno 11</v>
      </c>
      <c r="C36" s="13"/>
      <c r="D36" s="13"/>
      <c r="E36" s="13"/>
      <c r="F36" s="13"/>
      <c r="G36" s="22"/>
      <c r="H36" s="27"/>
      <c r="I36" s="33"/>
      <c r="J36" s="33"/>
      <c r="K36" s="33"/>
      <c r="L36" s="33"/>
      <c r="M36" s="33"/>
      <c r="N36" s="6"/>
      <c r="O36" s="23" t="str">
        <f t="shared" si="0"/>
        <v>FALTA</v>
      </c>
      <c r="P36" s="6" t="str">
        <f t="shared" si="1"/>
        <v>OK</v>
      </c>
      <c r="Q36" s="12">
        <f>INDEX(Calendario!$B$5:$B$16,MATCH($A36,Calendario!$A$5:$A$16,0))</f>
        <v>46300</v>
      </c>
      <c r="R36" s="12">
        <f>INDEX(Calendario!$C$5:$C$16,MATCH($A36,Calendario!$A$5:$A$16,0))</f>
        <v>46313</v>
      </c>
      <c r="S36" s="6" t="str">
        <f t="shared" si="2"/>
        <v>05/10/YYYY - 06/10/YYYY</v>
      </c>
    </row>
    <row r="37" spans="1:19" x14ac:dyDescent="0.25">
      <c r="A37" s="6">
        <v>2</v>
      </c>
      <c r="B37" s="13" t="str">
        <f>Alumnos!B13</f>
        <v>Alumno 12</v>
      </c>
      <c r="C37" s="13"/>
      <c r="D37" s="13"/>
      <c r="E37" s="13"/>
      <c r="F37" s="13"/>
      <c r="G37" s="22"/>
      <c r="H37" s="27"/>
      <c r="I37" s="33"/>
      <c r="J37" s="33"/>
      <c r="K37" s="33"/>
      <c r="L37" s="33"/>
      <c r="M37" s="33"/>
      <c r="N37" s="6"/>
      <c r="O37" s="23" t="str">
        <f t="shared" si="0"/>
        <v>FALTA</v>
      </c>
      <c r="P37" s="6" t="str">
        <f t="shared" si="1"/>
        <v>OK</v>
      </c>
      <c r="Q37" s="12">
        <f>INDEX(Calendario!$B$5:$B$16,MATCH($A37,Calendario!$A$5:$A$16,0))</f>
        <v>46300</v>
      </c>
      <c r="R37" s="12">
        <f>INDEX(Calendario!$C$5:$C$16,MATCH($A37,Calendario!$A$5:$A$16,0))</f>
        <v>46313</v>
      </c>
      <c r="S37" s="6" t="str">
        <f t="shared" si="2"/>
        <v>05/10/YYYY - 06/10/YYYY</v>
      </c>
    </row>
    <row r="38" spans="1:19" x14ac:dyDescent="0.25">
      <c r="A38" s="6">
        <v>2</v>
      </c>
      <c r="B38" s="13" t="str">
        <f>Alumnos!B14</f>
        <v>Alumno 13</v>
      </c>
      <c r="C38" s="13"/>
      <c r="D38" s="13"/>
      <c r="E38" s="13"/>
      <c r="F38" s="13"/>
      <c r="G38" s="22"/>
      <c r="H38" s="27"/>
      <c r="I38" s="33"/>
      <c r="J38" s="33"/>
      <c r="K38" s="33"/>
      <c r="L38" s="33"/>
      <c r="M38" s="33"/>
      <c r="N38" s="6"/>
      <c r="O38" s="23" t="str">
        <f t="shared" si="0"/>
        <v>FALTA</v>
      </c>
      <c r="P38" s="6" t="str">
        <f t="shared" si="1"/>
        <v>OK</v>
      </c>
      <c r="Q38" s="12">
        <f>INDEX(Calendario!$B$5:$B$16,MATCH($A38,Calendario!$A$5:$A$16,0))</f>
        <v>46300</v>
      </c>
      <c r="R38" s="12">
        <f>INDEX(Calendario!$C$5:$C$16,MATCH($A38,Calendario!$A$5:$A$16,0))</f>
        <v>46313</v>
      </c>
      <c r="S38" s="6" t="str">
        <f t="shared" si="2"/>
        <v>05/10/YYYY - 06/10/YYYY</v>
      </c>
    </row>
    <row r="39" spans="1:19" x14ac:dyDescent="0.25">
      <c r="A39" s="6">
        <v>2</v>
      </c>
      <c r="B39" s="13" t="str">
        <f>Alumnos!B15</f>
        <v>Alumno 14</v>
      </c>
      <c r="C39" s="13"/>
      <c r="D39" s="13"/>
      <c r="E39" s="13"/>
      <c r="F39" s="13"/>
      <c r="G39" s="22"/>
      <c r="H39" s="27"/>
      <c r="I39" s="33"/>
      <c r="J39" s="33"/>
      <c r="K39" s="33"/>
      <c r="L39" s="33"/>
      <c r="M39" s="33"/>
      <c r="N39" s="6"/>
      <c r="O39" s="23" t="str">
        <f t="shared" si="0"/>
        <v>FALTA</v>
      </c>
      <c r="P39" s="6" t="str">
        <f t="shared" si="1"/>
        <v>OK</v>
      </c>
      <c r="Q39" s="12">
        <f>INDEX(Calendario!$B$5:$B$16,MATCH($A39,Calendario!$A$5:$A$16,0))</f>
        <v>46300</v>
      </c>
      <c r="R39" s="12">
        <f>INDEX(Calendario!$C$5:$C$16,MATCH($A39,Calendario!$A$5:$A$16,0))</f>
        <v>46313</v>
      </c>
      <c r="S39" s="6" t="str">
        <f t="shared" si="2"/>
        <v>05/10/YYYY - 06/10/YYYY</v>
      </c>
    </row>
    <row r="40" spans="1:19" x14ac:dyDescent="0.25">
      <c r="A40" s="6">
        <v>2</v>
      </c>
      <c r="B40" s="13" t="str">
        <f>Alumnos!B16</f>
        <v>Alumno 15</v>
      </c>
      <c r="C40" s="13"/>
      <c r="D40" s="13"/>
      <c r="E40" s="13"/>
      <c r="F40" s="13"/>
      <c r="G40" s="22"/>
      <c r="H40" s="27"/>
      <c r="I40" s="33"/>
      <c r="J40" s="33"/>
      <c r="K40" s="33"/>
      <c r="L40" s="33"/>
      <c r="M40" s="33"/>
      <c r="N40" s="6"/>
      <c r="O40" s="23" t="str">
        <f t="shared" si="0"/>
        <v>FALTA</v>
      </c>
      <c r="P40" s="6" t="str">
        <f t="shared" si="1"/>
        <v>OK</v>
      </c>
      <c r="Q40" s="12">
        <f>INDEX(Calendario!$B$5:$B$16,MATCH($A40,Calendario!$A$5:$A$16,0))</f>
        <v>46300</v>
      </c>
      <c r="R40" s="12">
        <f>INDEX(Calendario!$C$5:$C$16,MATCH($A40,Calendario!$A$5:$A$16,0))</f>
        <v>46313</v>
      </c>
      <c r="S40" s="6" t="str">
        <f t="shared" si="2"/>
        <v>05/10/YYYY - 06/10/YYYY</v>
      </c>
    </row>
    <row r="41" spans="1:19" x14ac:dyDescent="0.25">
      <c r="A41" s="6">
        <v>2</v>
      </c>
      <c r="B41" s="13" t="str">
        <f>Alumnos!B17</f>
        <v>Alumno 16</v>
      </c>
      <c r="C41" s="13"/>
      <c r="D41" s="13"/>
      <c r="E41" s="13"/>
      <c r="F41" s="13"/>
      <c r="G41" s="22"/>
      <c r="H41" s="27"/>
      <c r="I41" s="33"/>
      <c r="J41" s="33"/>
      <c r="K41" s="33"/>
      <c r="L41" s="33"/>
      <c r="M41" s="33"/>
      <c r="N41" s="6"/>
      <c r="O41" s="23" t="str">
        <f t="shared" si="0"/>
        <v>FALTA</v>
      </c>
      <c r="P41" s="6" t="str">
        <f t="shared" si="1"/>
        <v>OK</v>
      </c>
      <c r="Q41" s="12">
        <f>INDEX(Calendario!$B$5:$B$16,MATCH($A41,Calendario!$A$5:$A$16,0))</f>
        <v>46300</v>
      </c>
      <c r="R41" s="12">
        <f>INDEX(Calendario!$C$5:$C$16,MATCH($A41,Calendario!$A$5:$A$16,0))</f>
        <v>46313</v>
      </c>
      <c r="S41" s="6" t="str">
        <f t="shared" si="2"/>
        <v>05/10/YYYY - 06/10/YYYY</v>
      </c>
    </row>
    <row r="42" spans="1:19" x14ac:dyDescent="0.25">
      <c r="A42" s="6">
        <v>2</v>
      </c>
      <c r="B42" s="13" t="str">
        <f>Alumnos!B18</f>
        <v>Alumno 17</v>
      </c>
      <c r="C42" s="13"/>
      <c r="D42" s="13"/>
      <c r="E42" s="13"/>
      <c r="F42" s="13"/>
      <c r="G42" s="22"/>
      <c r="H42" s="27"/>
      <c r="I42" s="33"/>
      <c r="J42" s="33"/>
      <c r="K42" s="33"/>
      <c r="L42" s="33"/>
      <c r="M42" s="33"/>
      <c r="N42" s="6"/>
      <c r="O42" s="23" t="str">
        <f t="shared" si="0"/>
        <v>FALTA</v>
      </c>
      <c r="P42" s="6" t="str">
        <f t="shared" si="1"/>
        <v>OK</v>
      </c>
      <c r="Q42" s="12">
        <f>INDEX(Calendario!$B$5:$B$16,MATCH($A42,Calendario!$A$5:$A$16,0))</f>
        <v>46300</v>
      </c>
      <c r="R42" s="12">
        <f>INDEX(Calendario!$C$5:$C$16,MATCH($A42,Calendario!$A$5:$A$16,0))</f>
        <v>46313</v>
      </c>
      <c r="S42" s="6" t="str">
        <f t="shared" si="2"/>
        <v>05/10/YYYY - 06/10/YYYY</v>
      </c>
    </row>
    <row r="43" spans="1:19" x14ac:dyDescent="0.25">
      <c r="A43" s="6">
        <v>2</v>
      </c>
      <c r="B43" s="13" t="str">
        <f>Alumnos!B19</f>
        <v>Alumno 18</v>
      </c>
      <c r="C43" s="13"/>
      <c r="D43" s="13"/>
      <c r="E43" s="13"/>
      <c r="F43" s="13"/>
      <c r="G43" s="22"/>
      <c r="H43" s="27"/>
      <c r="I43" s="33"/>
      <c r="J43" s="33"/>
      <c r="K43" s="33"/>
      <c r="L43" s="33"/>
      <c r="M43" s="33"/>
      <c r="N43" s="6"/>
      <c r="O43" s="23" t="str">
        <f t="shared" si="0"/>
        <v>FALTA</v>
      </c>
      <c r="P43" s="6" t="str">
        <f t="shared" si="1"/>
        <v>OK</v>
      </c>
      <c r="Q43" s="12">
        <f>INDEX(Calendario!$B$5:$B$16,MATCH($A43,Calendario!$A$5:$A$16,0))</f>
        <v>46300</v>
      </c>
      <c r="R43" s="12">
        <f>INDEX(Calendario!$C$5:$C$16,MATCH($A43,Calendario!$A$5:$A$16,0))</f>
        <v>46313</v>
      </c>
      <c r="S43" s="6" t="str">
        <f t="shared" si="2"/>
        <v>05/10/YYYY - 06/10/YYYY</v>
      </c>
    </row>
    <row r="44" spans="1:19" x14ac:dyDescent="0.25">
      <c r="A44" s="6">
        <v>2</v>
      </c>
      <c r="B44" s="13" t="str">
        <f>Alumnos!B20</f>
        <v>Alumno 19</v>
      </c>
      <c r="C44" s="13"/>
      <c r="D44" s="13"/>
      <c r="E44" s="13"/>
      <c r="F44" s="13"/>
      <c r="G44" s="22"/>
      <c r="H44" s="27"/>
      <c r="I44" s="33"/>
      <c r="J44" s="33"/>
      <c r="K44" s="33"/>
      <c r="L44" s="33"/>
      <c r="M44" s="33"/>
      <c r="N44" s="6"/>
      <c r="O44" s="23" t="str">
        <f t="shared" si="0"/>
        <v>FALTA</v>
      </c>
      <c r="P44" s="6" t="str">
        <f t="shared" si="1"/>
        <v>OK</v>
      </c>
      <c r="Q44" s="12">
        <f>INDEX(Calendario!$B$5:$B$16,MATCH($A44,Calendario!$A$5:$A$16,0))</f>
        <v>46300</v>
      </c>
      <c r="R44" s="12">
        <f>INDEX(Calendario!$C$5:$C$16,MATCH($A44,Calendario!$A$5:$A$16,0))</f>
        <v>46313</v>
      </c>
      <c r="S44" s="6" t="str">
        <f t="shared" si="2"/>
        <v>05/10/YYYY - 06/10/YYYY</v>
      </c>
    </row>
    <row r="45" spans="1:19" x14ac:dyDescent="0.25">
      <c r="A45" s="6">
        <v>2</v>
      </c>
      <c r="B45" s="13" t="str">
        <f>Alumnos!B21</f>
        <v>Alumno 20</v>
      </c>
      <c r="C45" s="13"/>
      <c r="D45" s="13"/>
      <c r="E45" s="13"/>
      <c r="F45" s="13"/>
      <c r="G45" s="22"/>
      <c r="H45" s="27"/>
      <c r="I45" s="33"/>
      <c r="J45" s="33"/>
      <c r="K45" s="33"/>
      <c r="L45" s="33"/>
      <c r="M45" s="33"/>
      <c r="N45" s="6"/>
      <c r="O45" s="23" t="str">
        <f t="shared" si="0"/>
        <v>FALTA</v>
      </c>
      <c r="P45" s="6" t="str">
        <f t="shared" si="1"/>
        <v>OK</v>
      </c>
      <c r="Q45" s="12">
        <f>INDEX(Calendario!$B$5:$B$16,MATCH($A45,Calendario!$A$5:$A$16,0))</f>
        <v>46300</v>
      </c>
      <c r="R45" s="12">
        <f>INDEX(Calendario!$C$5:$C$16,MATCH($A45,Calendario!$A$5:$A$16,0))</f>
        <v>46313</v>
      </c>
      <c r="S45" s="6" t="str">
        <f t="shared" si="2"/>
        <v>05/10/YYYY - 06/10/YYYY</v>
      </c>
    </row>
    <row r="46" spans="1:19" x14ac:dyDescent="0.25">
      <c r="A46" s="6">
        <v>2</v>
      </c>
      <c r="B46" s="13" t="str">
        <f>Alumnos!B22</f>
        <v>Alumno 21</v>
      </c>
      <c r="C46" s="13"/>
      <c r="D46" s="13"/>
      <c r="E46" s="13"/>
      <c r="F46" s="13"/>
      <c r="G46" s="22"/>
      <c r="H46" s="27"/>
      <c r="I46" s="33"/>
      <c r="J46" s="33"/>
      <c r="K46" s="33"/>
      <c r="L46" s="33"/>
      <c r="M46" s="33"/>
      <c r="N46" s="6"/>
      <c r="O46" s="23" t="str">
        <f t="shared" si="0"/>
        <v>FALTA</v>
      </c>
      <c r="P46" s="6" t="str">
        <f t="shared" si="1"/>
        <v>OK</v>
      </c>
      <c r="Q46" s="12">
        <f>INDEX(Calendario!$B$5:$B$16,MATCH($A46,Calendario!$A$5:$A$16,0))</f>
        <v>46300</v>
      </c>
      <c r="R46" s="12">
        <f>INDEX(Calendario!$C$5:$C$16,MATCH($A46,Calendario!$A$5:$A$16,0))</f>
        <v>46313</v>
      </c>
      <c r="S46" s="6" t="str">
        <f t="shared" si="2"/>
        <v>05/10/YYYY - 06/10/YYYY</v>
      </c>
    </row>
    <row r="47" spans="1:19" x14ac:dyDescent="0.25">
      <c r="A47" s="6">
        <v>2</v>
      </c>
      <c r="B47" s="13" t="str">
        <f>Alumnos!B23</f>
        <v>Alumno 22</v>
      </c>
      <c r="C47" s="13"/>
      <c r="D47" s="13"/>
      <c r="E47" s="13"/>
      <c r="F47" s="13"/>
      <c r="G47" s="22"/>
      <c r="H47" s="27"/>
      <c r="I47" s="33"/>
      <c r="J47" s="33"/>
      <c r="K47" s="33"/>
      <c r="L47" s="33"/>
      <c r="M47" s="33"/>
      <c r="N47" s="6"/>
      <c r="O47" s="23" t="str">
        <f t="shared" si="0"/>
        <v>FALTA</v>
      </c>
      <c r="P47" s="6" t="str">
        <f t="shared" si="1"/>
        <v>OK</v>
      </c>
      <c r="Q47" s="12">
        <f>INDEX(Calendario!$B$5:$B$16,MATCH($A47,Calendario!$A$5:$A$16,0))</f>
        <v>46300</v>
      </c>
      <c r="R47" s="12">
        <f>INDEX(Calendario!$C$5:$C$16,MATCH($A47,Calendario!$A$5:$A$16,0))</f>
        <v>46313</v>
      </c>
      <c r="S47" s="6" t="str">
        <f t="shared" si="2"/>
        <v>05/10/YYYY - 06/10/YYYY</v>
      </c>
    </row>
    <row r="48" spans="1:19" x14ac:dyDescent="0.25">
      <c r="A48" s="6">
        <v>2</v>
      </c>
      <c r="B48" s="13" t="str">
        <f>Alumnos!B24</f>
        <v>Alumno 23</v>
      </c>
      <c r="C48" s="13"/>
      <c r="D48" s="13"/>
      <c r="E48" s="13"/>
      <c r="F48" s="13"/>
      <c r="G48" s="22"/>
      <c r="H48" s="27"/>
      <c r="I48" s="33"/>
      <c r="J48" s="33"/>
      <c r="K48" s="33"/>
      <c r="L48" s="33"/>
      <c r="M48" s="33"/>
      <c r="N48" s="6"/>
      <c r="O48" s="23" t="str">
        <f t="shared" si="0"/>
        <v>FALTA</v>
      </c>
      <c r="P48" s="6" t="str">
        <f t="shared" si="1"/>
        <v>OK</v>
      </c>
      <c r="Q48" s="12">
        <f>INDEX(Calendario!$B$5:$B$16,MATCH($A48,Calendario!$A$5:$A$16,0))</f>
        <v>46300</v>
      </c>
      <c r="R48" s="12">
        <f>INDEX(Calendario!$C$5:$C$16,MATCH($A48,Calendario!$A$5:$A$16,0))</f>
        <v>46313</v>
      </c>
      <c r="S48" s="6" t="str">
        <f t="shared" si="2"/>
        <v>05/10/YYYY - 06/10/YYYY</v>
      </c>
    </row>
    <row r="49" spans="1:19" x14ac:dyDescent="0.25">
      <c r="A49" s="6">
        <v>2</v>
      </c>
      <c r="B49" s="13" t="str">
        <f>Alumnos!B25</f>
        <v>Alumno 24</v>
      </c>
      <c r="C49" s="13"/>
      <c r="D49" s="13"/>
      <c r="E49" s="13"/>
      <c r="F49" s="13"/>
      <c r="G49" s="22"/>
      <c r="H49" s="27"/>
      <c r="I49" s="33"/>
      <c r="J49" s="33"/>
      <c r="K49" s="33"/>
      <c r="L49" s="33"/>
      <c r="M49" s="33"/>
      <c r="N49" s="6"/>
      <c r="O49" s="23" t="str">
        <f t="shared" si="0"/>
        <v>FALTA</v>
      </c>
      <c r="P49" s="6" t="str">
        <f t="shared" si="1"/>
        <v>OK</v>
      </c>
      <c r="Q49" s="12">
        <f>INDEX(Calendario!$B$5:$B$16,MATCH($A49,Calendario!$A$5:$A$16,0))</f>
        <v>46300</v>
      </c>
      <c r="R49" s="12">
        <f>INDEX(Calendario!$C$5:$C$16,MATCH($A49,Calendario!$A$5:$A$16,0))</f>
        <v>46313</v>
      </c>
      <c r="S49" s="6" t="str">
        <f t="shared" si="2"/>
        <v>05/10/YYYY - 06/10/YYYY</v>
      </c>
    </row>
    <row r="50" spans="1:19" x14ac:dyDescent="0.25">
      <c r="A50" s="20">
        <v>3</v>
      </c>
      <c r="B50" s="21" t="str">
        <f>Alumnos!B2</f>
        <v>Alumno 1</v>
      </c>
      <c r="C50" s="21"/>
      <c r="D50" s="21"/>
      <c r="E50" s="21"/>
      <c r="F50" s="21"/>
      <c r="G50" s="25"/>
      <c r="H50" s="28"/>
      <c r="I50" s="34"/>
      <c r="J50" s="34"/>
      <c r="K50" s="34"/>
      <c r="L50" s="34"/>
      <c r="M50" s="34"/>
      <c r="N50" s="20"/>
      <c r="O50" s="23" t="str">
        <f t="shared" si="0"/>
        <v>FALTA</v>
      </c>
      <c r="P50" s="6" t="str">
        <f t="shared" si="1"/>
        <v>OK</v>
      </c>
      <c r="Q50" s="12">
        <f>INDEX(Calendario!$B$5:$B$16,MATCH($A50,Calendario!$A$5:$A$16,0))</f>
        <v>46314</v>
      </c>
      <c r="R50" s="12">
        <f>INDEX(Calendario!$C$5:$C$16,MATCH($A50,Calendario!$A$5:$A$16,0))</f>
        <v>46327</v>
      </c>
      <c r="S50" s="6" t="str">
        <f t="shared" si="2"/>
        <v>19/10/YYYY - 20/10/YYYY</v>
      </c>
    </row>
    <row r="51" spans="1:19" x14ac:dyDescent="0.25">
      <c r="A51" s="6">
        <v>3</v>
      </c>
      <c r="B51" s="13" t="str">
        <f>Alumnos!B3</f>
        <v>Alumno 2</v>
      </c>
      <c r="C51" s="13"/>
      <c r="D51" s="13"/>
      <c r="E51" s="13"/>
      <c r="F51" s="13"/>
      <c r="G51" s="22"/>
      <c r="H51" s="27"/>
      <c r="I51" s="33"/>
      <c r="J51" s="33"/>
      <c r="K51" s="33"/>
      <c r="L51" s="33"/>
      <c r="M51" s="33"/>
      <c r="N51" s="6"/>
      <c r="O51" s="23" t="str">
        <f t="shared" si="0"/>
        <v>FALTA</v>
      </c>
      <c r="P51" s="6" t="str">
        <f t="shared" si="1"/>
        <v>OK</v>
      </c>
      <c r="Q51" s="12">
        <f>INDEX(Calendario!$B$5:$B$16,MATCH($A51,Calendario!$A$5:$A$16,0))</f>
        <v>46314</v>
      </c>
      <c r="R51" s="12">
        <f>INDEX(Calendario!$C$5:$C$16,MATCH($A51,Calendario!$A$5:$A$16,0))</f>
        <v>46327</v>
      </c>
      <c r="S51" s="6" t="str">
        <f t="shared" si="2"/>
        <v>19/10/YYYY - 20/10/YYYY</v>
      </c>
    </row>
    <row r="52" spans="1:19" x14ac:dyDescent="0.25">
      <c r="A52" s="6">
        <v>3</v>
      </c>
      <c r="B52" s="13" t="str">
        <f>Alumnos!B4</f>
        <v>Alumno 3</v>
      </c>
      <c r="C52" s="13"/>
      <c r="D52" s="13"/>
      <c r="E52" s="13"/>
      <c r="F52" s="13"/>
      <c r="G52" s="22"/>
      <c r="H52" s="27"/>
      <c r="I52" s="33"/>
      <c r="J52" s="33"/>
      <c r="K52" s="33"/>
      <c r="L52" s="33"/>
      <c r="M52" s="33"/>
      <c r="N52" s="6"/>
      <c r="O52" s="23" t="str">
        <f t="shared" si="0"/>
        <v>FALTA</v>
      </c>
      <c r="P52" s="6" t="str">
        <f t="shared" si="1"/>
        <v>OK</v>
      </c>
      <c r="Q52" s="12">
        <f>INDEX(Calendario!$B$5:$B$16,MATCH($A52,Calendario!$A$5:$A$16,0))</f>
        <v>46314</v>
      </c>
      <c r="R52" s="12">
        <f>INDEX(Calendario!$C$5:$C$16,MATCH($A52,Calendario!$A$5:$A$16,0))</f>
        <v>46327</v>
      </c>
      <c r="S52" s="6" t="str">
        <f t="shared" si="2"/>
        <v>19/10/YYYY - 20/10/YYYY</v>
      </c>
    </row>
    <row r="53" spans="1:19" x14ac:dyDescent="0.25">
      <c r="A53" s="6">
        <v>3</v>
      </c>
      <c r="B53" s="13" t="str">
        <f>Alumnos!B5</f>
        <v>Alumno 4</v>
      </c>
      <c r="C53" s="13"/>
      <c r="D53" s="13"/>
      <c r="E53" s="13"/>
      <c r="F53" s="13"/>
      <c r="G53" s="22"/>
      <c r="H53" s="27"/>
      <c r="I53" s="33"/>
      <c r="J53" s="33"/>
      <c r="K53" s="33"/>
      <c r="L53" s="33"/>
      <c r="M53" s="33"/>
      <c r="N53" s="6"/>
      <c r="O53" s="23" t="str">
        <f t="shared" si="0"/>
        <v>FALTA</v>
      </c>
      <c r="P53" s="6" t="str">
        <f t="shared" si="1"/>
        <v>OK</v>
      </c>
      <c r="Q53" s="12">
        <f>INDEX(Calendario!$B$5:$B$16,MATCH($A53,Calendario!$A$5:$A$16,0))</f>
        <v>46314</v>
      </c>
      <c r="R53" s="12">
        <f>INDEX(Calendario!$C$5:$C$16,MATCH($A53,Calendario!$A$5:$A$16,0))</f>
        <v>46327</v>
      </c>
      <c r="S53" s="6" t="str">
        <f t="shared" si="2"/>
        <v>19/10/YYYY - 20/10/YYYY</v>
      </c>
    </row>
    <row r="54" spans="1:19" x14ac:dyDescent="0.25">
      <c r="A54" s="6">
        <v>3</v>
      </c>
      <c r="B54" s="13" t="str">
        <f>Alumnos!B6</f>
        <v>Alumno 5</v>
      </c>
      <c r="C54" s="13"/>
      <c r="D54" s="13"/>
      <c r="E54" s="13"/>
      <c r="F54" s="13"/>
      <c r="G54" s="22"/>
      <c r="H54" s="27"/>
      <c r="I54" s="33"/>
      <c r="J54" s="33"/>
      <c r="K54" s="33"/>
      <c r="L54" s="33"/>
      <c r="M54" s="33"/>
      <c r="N54" s="6"/>
      <c r="O54" s="23" t="str">
        <f t="shared" si="0"/>
        <v>FALTA</v>
      </c>
      <c r="P54" s="6" t="str">
        <f t="shared" si="1"/>
        <v>OK</v>
      </c>
      <c r="Q54" s="12">
        <f>INDEX(Calendario!$B$5:$B$16,MATCH($A54,Calendario!$A$5:$A$16,0))</f>
        <v>46314</v>
      </c>
      <c r="R54" s="12">
        <f>INDEX(Calendario!$C$5:$C$16,MATCH($A54,Calendario!$A$5:$A$16,0))</f>
        <v>46327</v>
      </c>
      <c r="S54" s="6" t="str">
        <f t="shared" si="2"/>
        <v>19/10/YYYY - 20/10/YYYY</v>
      </c>
    </row>
    <row r="55" spans="1:19" x14ac:dyDescent="0.25">
      <c r="A55" s="6">
        <v>3</v>
      </c>
      <c r="B55" s="13" t="str">
        <f>Alumnos!B7</f>
        <v>Alumno 6</v>
      </c>
      <c r="C55" s="13"/>
      <c r="D55" s="13"/>
      <c r="E55" s="13"/>
      <c r="F55" s="13"/>
      <c r="G55" s="22"/>
      <c r="H55" s="27"/>
      <c r="I55" s="33"/>
      <c r="J55" s="33"/>
      <c r="K55" s="33"/>
      <c r="L55" s="33"/>
      <c r="M55" s="33"/>
      <c r="N55" s="6"/>
      <c r="O55" s="23" t="str">
        <f t="shared" si="0"/>
        <v>FALTA</v>
      </c>
      <c r="P55" s="6" t="str">
        <f t="shared" si="1"/>
        <v>OK</v>
      </c>
      <c r="Q55" s="12">
        <f>INDEX(Calendario!$B$5:$B$16,MATCH($A55,Calendario!$A$5:$A$16,0))</f>
        <v>46314</v>
      </c>
      <c r="R55" s="12">
        <f>INDEX(Calendario!$C$5:$C$16,MATCH($A55,Calendario!$A$5:$A$16,0))</f>
        <v>46327</v>
      </c>
      <c r="S55" s="6" t="str">
        <f t="shared" si="2"/>
        <v>19/10/YYYY - 20/10/YYYY</v>
      </c>
    </row>
    <row r="56" spans="1:19" x14ac:dyDescent="0.25">
      <c r="A56" s="6">
        <v>3</v>
      </c>
      <c r="B56" s="13" t="str">
        <f>Alumnos!B8</f>
        <v>Alumno 7</v>
      </c>
      <c r="C56" s="13"/>
      <c r="D56" s="13"/>
      <c r="E56" s="13"/>
      <c r="F56" s="13"/>
      <c r="G56" s="22"/>
      <c r="H56" s="27"/>
      <c r="I56" s="33"/>
      <c r="J56" s="33"/>
      <c r="K56" s="33"/>
      <c r="L56" s="33"/>
      <c r="M56" s="33"/>
      <c r="N56" s="6"/>
      <c r="O56" s="23" t="str">
        <f t="shared" si="0"/>
        <v>FALTA</v>
      </c>
      <c r="P56" s="6" t="str">
        <f t="shared" si="1"/>
        <v>OK</v>
      </c>
      <c r="Q56" s="12">
        <f>INDEX(Calendario!$B$5:$B$16,MATCH($A56,Calendario!$A$5:$A$16,0))</f>
        <v>46314</v>
      </c>
      <c r="R56" s="12">
        <f>INDEX(Calendario!$C$5:$C$16,MATCH($A56,Calendario!$A$5:$A$16,0))</f>
        <v>46327</v>
      </c>
      <c r="S56" s="6" t="str">
        <f t="shared" si="2"/>
        <v>19/10/YYYY - 20/10/YYYY</v>
      </c>
    </row>
    <row r="57" spans="1:19" x14ac:dyDescent="0.25">
      <c r="A57" s="6">
        <v>3</v>
      </c>
      <c r="B57" s="13" t="str">
        <f>Alumnos!B9</f>
        <v>Alumno 8</v>
      </c>
      <c r="C57" s="13"/>
      <c r="D57" s="13"/>
      <c r="E57" s="13"/>
      <c r="F57" s="13"/>
      <c r="G57" s="22"/>
      <c r="H57" s="27"/>
      <c r="I57" s="33"/>
      <c r="J57" s="33"/>
      <c r="K57" s="33"/>
      <c r="L57" s="33"/>
      <c r="M57" s="33"/>
      <c r="N57" s="6"/>
      <c r="O57" s="23" t="str">
        <f t="shared" si="0"/>
        <v>FALTA</v>
      </c>
      <c r="P57" s="6" t="str">
        <f t="shared" si="1"/>
        <v>OK</v>
      </c>
      <c r="Q57" s="12">
        <f>INDEX(Calendario!$B$5:$B$16,MATCH($A57,Calendario!$A$5:$A$16,0))</f>
        <v>46314</v>
      </c>
      <c r="R57" s="12">
        <f>INDEX(Calendario!$C$5:$C$16,MATCH($A57,Calendario!$A$5:$A$16,0))</f>
        <v>46327</v>
      </c>
      <c r="S57" s="6" t="str">
        <f t="shared" si="2"/>
        <v>19/10/YYYY - 20/10/YYYY</v>
      </c>
    </row>
    <row r="58" spans="1:19" x14ac:dyDescent="0.25">
      <c r="A58" s="6">
        <v>3</v>
      </c>
      <c r="B58" s="13" t="str">
        <f>Alumnos!B10</f>
        <v>Alumno 9</v>
      </c>
      <c r="C58" s="13"/>
      <c r="D58" s="13"/>
      <c r="E58" s="13"/>
      <c r="F58" s="13"/>
      <c r="G58" s="22"/>
      <c r="H58" s="27"/>
      <c r="I58" s="33"/>
      <c r="J58" s="33"/>
      <c r="K58" s="33"/>
      <c r="L58" s="33"/>
      <c r="M58" s="33"/>
      <c r="N58" s="6"/>
      <c r="O58" s="23" t="str">
        <f t="shared" si="0"/>
        <v>FALTA</v>
      </c>
      <c r="P58" s="6" t="str">
        <f t="shared" si="1"/>
        <v>OK</v>
      </c>
      <c r="Q58" s="12">
        <f>INDEX(Calendario!$B$5:$B$16,MATCH($A58,Calendario!$A$5:$A$16,0))</f>
        <v>46314</v>
      </c>
      <c r="R58" s="12">
        <f>INDEX(Calendario!$C$5:$C$16,MATCH($A58,Calendario!$A$5:$A$16,0))</f>
        <v>46327</v>
      </c>
      <c r="S58" s="6" t="str">
        <f t="shared" si="2"/>
        <v>19/10/YYYY - 20/10/YYYY</v>
      </c>
    </row>
    <row r="59" spans="1:19" x14ac:dyDescent="0.25">
      <c r="A59" s="6">
        <v>3</v>
      </c>
      <c r="B59" s="13" t="str">
        <f>Alumnos!B11</f>
        <v>Alumno 10</v>
      </c>
      <c r="C59" s="13"/>
      <c r="D59" s="13"/>
      <c r="E59" s="13"/>
      <c r="F59" s="13"/>
      <c r="G59" s="22"/>
      <c r="H59" s="27"/>
      <c r="I59" s="33"/>
      <c r="J59" s="33"/>
      <c r="K59" s="33"/>
      <c r="L59" s="33"/>
      <c r="M59" s="33"/>
      <c r="N59" s="6"/>
      <c r="O59" s="23" t="str">
        <f t="shared" si="0"/>
        <v>FALTA</v>
      </c>
      <c r="P59" s="6" t="str">
        <f t="shared" si="1"/>
        <v>OK</v>
      </c>
      <c r="Q59" s="12">
        <f>INDEX(Calendario!$B$5:$B$16,MATCH($A59,Calendario!$A$5:$A$16,0))</f>
        <v>46314</v>
      </c>
      <c r="R59" s="12">
        <f>INDEX(Calendario!$C$5:$C$16,MATCH($A59,Calendario!$A$5:$A$16,0))</f>
        <v>46327</v>
      </c>
      <c r="S59" s="6" t="str">
        <f t="shared" si="2"/>
        <v>19/10/YYYY - 20/10/YYYY</v>
      </c>
    </row>
    <row r="60" spans="1:19" x14ac:dyDescent="0.25">
      <c r="A60" s="6">
        <v>3</v>
      </c>
      <c r="B60" s="13" t="str">
        <f>Alumnos!B12</f>
        <v>Alumno 11</v>
      </c>
      <c r="C60" s="13"/>
      <c r="D60" s="13"/>
      <c r="E60" s="13"/>
      <c r="F60" s="13"/>
      <c r="G60" s="22"/>
      <c r="H60" s="27"/>
      <c r="I60" s="33"/>
      <c r="J60" s="33"/>
      <c r="K60" s="33"/>
      <c r="L60" s="33"/>
      <c r="M60" s="33"/>
      <c r="N60" s="6"/>
      <c r="O60" s="23" t="str">
        <f t="shared" si="0"/>
        <v>FALTA</v>
      </c>
      <c r="P60" s="6" t="str">
        <f t="shared" si="1"/>
        <v>OK</v>
      </c>
      <c r="Q60" s="12">
        <f>INDEX(Calendario!$B$5:$B$16,MATCH($A60,Calendario!$A$5:$A$16,0))</f>
        <v>46314</v>
      </c>
      <c r="R60" s="12">
        <f>INDEX(Calendario!$C$5:$C$16,MATCH($A60,Calendario!$A$5:$A$16,0))</f>
        <v>46327</v>
      </c>
      <c r="S60" s="6" t="str">
        <f t="shared" si="2"/>
        <v>19/10/YYYY - 20/10/YYYY</v>
      </c>
    </row>
    <row r="61" spans="1:19" x14ac:dyDescent="0.25">
      <c r="A61" s="6">
        <v>3</v>
      </c>
      <c r="B61" s="13" t="str">
        <f>Alumnos!B13</f>
        <v>Alumno 12</v>
      </c>
      <c r="C61" s="13"/>
      <c r="D61" s="13"/>
      <c r="E61" s="13"/>
      <c r="F61" s="13"/>
      <c r="G61" s="22"/>
      <c r="H61" s="27"/>
      <c r="I61" s="33"/>
      <c r="J61" s="33"/>
      <c r="K61" s="33"/>
      <c r="L61" s="33"/>
      <c r="M61" s="33"/>
      <c r="N61" s="6"/>
      <c r="O61" s="23" t="str">
        <f t="shared" si="0"/>
        <v>FALTA</v>
      </c>
      <c r="P61" s="6" t="str">
        <f t="shared" si="1"/>
        <v>OK</v>
      </c>
      <c r="Q61" s="12">
        <f>INDEX(Calendario!$B$5:$B$16,MATCH($A61,Calendario!$A$5:$A$16,0))</f>
        <v>46314</v>
      </c>
      <c r="R61" s="12">
        <f>INDEX(Calendario!$C$5:$C$16,MATCH($A61,Calendario!$A$5:$A$16,0))</f>
        <v>46327</v>
      </c>
      <c r="S61" s="6" t="str">
        <f t="shared" si="2"/>
        <v>19/10/YYYY - 20/10/YYYY</v>
      </c>
    </row>
    <row r="62" spans="1:19" x14ac:dyDescent="0.25">
      <c r="A62" s="6">
        <v>3</v>
      </c>
      <c r="B62" s="13" t="str">
        <f>Alumnos!B14</f>
        <v>Alumno 13</v>
      </c>
      <c r="C62" s="13"/>
      <c r="D62" s="13"/>
      <c r="E62" s="13"/>
      <c r="F62" s="13"/>
      <c r="G62" s="22"/>
      <c r="H62" s="27"/>
      <c r="I62" s="33"/>
      <c r="J62" s="33"/>
      <c r="K62" s="33"/>
      <c r="L62" s="33"/>
      <c r="M62" s="33"/>
      <c r="N62" s="6"/>
      <c r="O62" s="23" t="str">
        <f t="shared" si="0"/>
        <v>FALTA</v>
      </c>
      <c r="P62" s="6" t="str">
        <f t="shared" si="1"/>
        <v>OK</v>
      </c>
      <c r="Q62" s="12">
        <f>INDEX(Calendario!$B$5:$B$16,MATCH($A62,Calendario!$A$5:$A$16,0))</f>
        <v>46314</v>
      </c>
      <c r="R62" s="12">
        <f>INDEX(Calendario!$C$5:$C$16,MATCH($A62,Calendario!$A$5:$A$16,0))</f>
        <v>46327</v>
      </c>
      <c r="S62" s="6" t="str">
        <f t="shared" si="2"/>
        <v>19/10/YYYY - 20/10/YYYY</v>
      </c>
    </row>
    <row r="63" spans="1:19" x14ac:dyDescent="0.25">
      <c r="A63" s="6">
        <v>3</v>
      </c>
      <c r="B63" s="13" t="str">
        <f>Alumnos!B15</f>
        <v>Alumno 14</v>
      </c>
      <c r="C63" s="13"/>
      <c r="D63" s="13"/>
      <c r="E63" s="13"/>
      <c r="F63" s="13"/>
      <c r="G63" s="22"/>
      <c r="H63" s="27"/>
      <c r="I63" s="33"/>
      <c r="J63" s="33"/>
      <c r="K63" s="33"/>
      <c r="L63" s="33"/>
      <c r="M63" s="33"/>
      <c r="N63" s="6"/>
      <c r="O63" s="23" t="str">
        <f t="shared" si="0"/>
        <v>FALTA</v>
      </c>
      <c r="P63" s="6" t="str">
        <f t="shared" si="1"/>
        <v>OK</v>
      </c>
      <c r="Q63" s="12">
        <f>INDEX(Calendario!$B$5:$B$16,MATCH($A63,Calendario!$A$5:$A$16,0))</f>
        <v>46314</v>
      </c>
      <c r="R63" s="12">
        <f>INDEX(Calendario!$C$5:$C$16,MATCH($A63,Calendario!$A$5:$A$16,0))</f>
        <v>46327</v>
      </c>
      <c r="S63" s="6" t="str">
        <f t="shared" si="2"/>
        <v>19/10/YYYY - 20/10/YYYY</v>
      </c>
    </row>
    <row r="64" spans="1:19" x14ac:dyDescent="0.25">
      <c r="A64" s="6">
        <v>3</v>
      </c>
      <c r="B64" s="13" t="str">
        <f>Alumnos!B16</f>
        <v>Alumno 15</v>
      </c>
      <c r="C64" s="13"/>
      <c r="D64" s="13"/>
      <c r="E64" s="13"/>
      <c r="F64" s="13"/>
      <c r="G64" s="22"/>
      <c r="H64" s="27"/>
      <c r="I64" s="33"/>
      <c r="J64" s="33"/>
      <c r="K64" s="33"/>
      <c r="L64" s="33"/>
      <c r="M64" s="33"/>
      <c r="N64" s="6"/>
      <c r="O64" s="23" t="str">
        <f t="shared" si="0"/>
        <v>FALTA</v>
      </c>
      <c r="P64" s="6" t="str">
        <f t="shared" si="1"/>
        <v>OK</v>
      </c>
      <c r="Q64" s="12">
        <f>INDEX(Calendario!$B$5:$B$16,MATCH($A64,Calendario!$A$5:$A$16,0))</f>
        <v>46314</v>
      </c>
      <c r="R64" s="12">
        <f>INDEX(Calendario!$C$5:$C$16,MATCH($A64,Calendario!$A$5:$A$16,0))</f>
        <v>46327</v>
      </c>
      <c r="S64" s="6" t="str">
        <f t="shared" si="2"/>
        <v>19/10/YYYY - 20/10/YYYY</v>
      </c>
    </row>
    <row r="65" spans="1:19" x14ac:dyDescent="0.25">
      <c r="A65" s="6">
        <v>3</v>
      </c>
      <c r="B65" s="13" t="str">
        <f>Alumnos!B17</f>
        <v>Alumno 16</v>
      </c>
      <c r="C65" s="13"/>
      <c r="D65" s="13"/>
      <c r="E65" s="13"/>
      <c r="F65" s="13"/>
      <c r="G65" s="22"/>
      <c r="H65" s="27"/>
      <c r="I65" s="33"/>
      <c r="J65" s="33"/>
      <c r="K65" s="33"/>
      <c r="L65" s="33"/>
      <c r="M65" s="33"/>
      <c r="N65" s="6"/>
      <c r="O65" s="23" t="str">
        <f t="shared" si="0"/>
        <v>FALTA</v>
      </c>
      <c r="P65" s="6" t="str">
        <f t="shared" si="1"/>
        <v>OK</v>
      </c>
      <c r="Q65" s="12">
        <f>INDEX(Calendario!$B$5:$B$16,MATCH($A65,Calendario!$A$5:$A$16,0))</f>
        <v>46314</v>
      </c>
      <c r="R65" s="12">
        <f>INDEX(Calendario!$C$5:$C$16,MATCH($A65,Calendario!$A$5:$A$16,0))</f>
        <v>46327</v>
      </c>
      <c r="S65" s="6" t="str">
        <f t="shared" si="2"/>
        <v>19/10/YYYY - 20/10/YYYY</v>
      </c>
    </row>
    <row r="66" spans="1:19" x14ac:dyDescent="0.25">
      <c r="A66" s="6">
        <v>3</v>
      </c>
      <c r="B66" s="13" t="str">
        <f>Alumnos!B18</f>
        <v>Alumno 17</v>
      </c>
      <c r="C66" s="13"/>
      <c r="D66" s="13"/>
      <c r="E66" s="13"/>
      <c r="F66" s="13"/>
      <c r="G66" s="22"/>
      <c r="H66" s="27"/>
      <c r="I66" s="33"/>
      <c r="J66" s="33"/>
      <c r="K66" s="33"/>
      <c r="L66" s="33"/>
      <c r="M66" s="33"/>
      <c r="N66" s="6"/>
      <c r="O66" s="23" t="str">
        <f t="shared" ref="O66:O129" si="3">IF(OR($B66=$C66,$B66=$D66,$B66=$E66,$B66=$F66,$B66=$G66),"OK","FALTA")</f>
        <v>FALTA</v>
      </c>
      <c r="P66" s="6" t="str">
        <f t="shared" ref="P66:P129" si="4">IF(OR($H66=$C66,$H66=$D66,$H66=$E66,$H66=$F66,$H66=$G66),"OK","ERROR")</f>
        <v>OK</v>
      </c>
      <c r="Q66" s="12">
        <f>INDEX(Calendario!$B$5:$B$16,MATCH($A66,Calendario!$A$5:$A$16,0))</f>
        <v>46314</v>
      </c>
      <c r="R66" s="12">
        <f>INDEX(Calendario!$C$5:$C$16,MATCH($A66,Calendario!$A$5:$A$16,0))</f>
        <v>46327</v>
      </c>
      <c r="S66" s="6" t="str">
        <f t="shared" ref="S66:S129" si="5">TEXT(Q66,"DD/MM/YYYY")&amp;" - "&amp;TEXT(Q66+1,"DD/MM/YYYY")</f>
        <v>19/10/YYYY - 20/10/YYYY</v>
      </c>
    </row>
    <row r="67" spans="1:19" x14ac:dyDescent="0.25">
      <c r="A67" s="6">
        <v>3</v>
      </c>
      <c r="B67" s="13" t="str">
        <f>Alumnos!B19</f>
        <v>Alumno 18</v>
      </c>
      <c r="C67" s="13"/>
      <c r="D67" s="13"/>
      <c r="E67" s="13"/>
      <c r="F67" s="13"/>
      <c r="G67" s="22"/>
      <c r="H67" s="27"/>
      <c r="I67" s="33"/>
      <c r="J67" s="33"/>
      <c r="K67" s="33"/>
      <c r="L67" s="33"/>
      <c r="M67" s="33"/>
      <c r="N67" s="6"/>
      <c r="O67" s="23" t="str">
        <f t="shared" si="3"/>
        <v>FALTA</v>
      </c>
      <c r="P67" s="6" t="str">
        <f t="shared" si="4"/>
        <v>OK</v>
      </c>
      <c r="Q67" s="12">
        <f>INDEX(Calendario!$B$5:$B$16,MATCH($A67,Calendario!$A$5:$A$16,0))</f>
        <v>46314</v>
      </c>
      <c r="R67" s="12">
        <f>INDEX(Calendario!$C$5:$C$16,MATCH($A67,Calendario!$A$5:$A$16,0))</f>
        <v>46327</v>
      </c>
      <c r="S67" s="6" t="str">
        <f t="shared" si="5"/>
        <v>19/10/YYYY - 20/10/YYYY</v>
      </c>
    </row>
    <row r="68" spans="1:19" x14ac:dyDescent="0.25">
      <c r="A68" s="6">
        <v>3</v>
      </c>
      <c r="B68" s="13" t="str">
        <f>Alumnos!B20</f>
        <v>Alumno 19</v>
      </c>
      <c r="C68" s="13"/>
      <c r="D68" s="13"/>
      <c r="E68" s="13"/>
      <c r="F68" s="13"/>
      <c r="G68" s="22"/>
      <c r="H68" s="27"/>
      <c r="I68" s="33"/>
      <c r="J68" s="33"/>
      <c r="K68" s="33"/>
      <c r="L68" s="33"/>
      <c r="M68" s="33"/>
      <c r="N68" s="6"/>
      <c r="O68" s="23" t="str">
        <f t="shared" si="3"/>
        <v>FALTA</v>
      </c>
      <c r="P68" s="6" t="str">
        <f t="shared" si="4"/>
        <v>OK</v>
      </c>
      <c r="Q68" s="12">
        <f>INDEX(Calendario!$B$5:$B$16,MATCH($A68,Calendario!$A$5:$A$16,0))</f>
        <v>46314</v>
      </c>
      <c r="R68" s="12">
        <f>INDEX(Calendario!$C$5:$C$16,MATCH($A68,Calendario!$A$5:$A$16,0))</f>
        <v>46327</v>
      </c>
      <c r="S68" s="6" t="str">
        <f t="shared" si="5"/>
        <v>19/10/YYYY - 20/10/YYYY</v>
      </c>
    </row>
    <row r="69" spans="1:19" x14ac:dyDescent="0.25">
      <c r="A69" s="6">
        <v>3</v>
      </c>
      <c r="B69" s="13" t="str">
        <f>Alumnos!B21</f>
        <v>Alumno 20</v>
      </c>
      <c r="C69" s="13"/>
      <c r="D69" s="13"/>
      <c r="E69" s="13"/>
      <c r="F69" s="13"/>
      <c r="G69" s="22"/>
      <c r="H69" s="27"/>
      <c r="I69" s="33"/>
      <c r="J69" s="33"/>
      <c r="K69" s="33"/>
      <c r="L69" s="33"/>
      <c r="M69" s="33"/>
      <c r="N69" s="6"/>
      <c r="O69" s="23" t="str">
        <f t="shared" si="3"/>
        <v>FALTA</v>
      </c>
      <c r="P69" s="6" t="str">
        <f t="shared" si="4"/>
        <v>OK</v>
      </c>
      <c r="Q69" s="12">
        <f>INDEX(Calendario!$B$5:$B$16,MATCH($A69,Calendario!$A$5:$A$16,0))</f>
        <v>46314</v>
      </c>
      <c r="R69" s="12">
        <f>INDEX(Calendario!$C$5:$C$16,MATCH($A69,Calendario!$A$5:$A$16,0))</f>
        <v>46327</v>
      </c>
      <c r="S69" s="6" t="str">
        <f t="shared" si="5"/>
        <v>19/10/YYYY - 20/10/YYYY</v>
      </c>
    </row>
    <row r="70" spans="1:19" x14ac:dyDescent="0.25">
      <c r="A70" s="6">
        <v>3</v>
      </c>
      <c r="B70" s="13" t="str">
        <f>Alumnos!B22</f>
        <v>Alumno 21</v>
      </c>
      <c r="C70" s="13"/>
      <c r="D70" s="13"/>
      <c r="E70" s="13"/>
      <c r="F70" s="13"/>
      <c r="G70" s="22"/>
      <c r="H70" s="27"/>
      <c r="I70" s="33"/>
      <c r="J70" s="33"/>
      <c r="K70" s="33"/>
      <c r="L70" s="33"/>
      <c r="M70" s="33"/>
      <c r="N70" s="6"/>
      <c r="O70" s="23" t="str">
        <f t="shared" si="3"/>
        <v>FALTA</v>
      </c>
      <c r="P70" s="6" t="str">
        <f t="shared" si="4"/>
        <v>OK</v>
      </c>
      <c r="Q70" s="12">
        <f>INDEX(Calendario!$B$5:$B$16,MATCH($A70,Calendario!$A$5:$A$16,0))</f>
        <v>46314</v>
      </c>
      <c r="R70" s="12">
        <f>INDEX(Calendario!$C$5:$C$16,MATCH($A70,Calendario!$A$5:$A$16,0))</f>
        <v>46327</v>
      </c>
      <c r="S70" s="6" t="str">
        <f t="shared" si="5"/>
        <v>19/10/YYYY - 20/10/YYYY</v>
      </c>
    </row>
    <row r="71" spans="1:19" x14ac:dyDescent="0.25">
      <c r="A71" s="6">
        <v>3</v>
      </c>
      <c r="B71" s="13" t="str">
        <f>Alumnos!B23</f>
        <v>Alumno 22</v>
      </c>
      <c r="C71" s="13"/>
      <c r="D71" s="13"/>
      <c r="E71" s="13"/>
      <c r="F71" s="13"/>
      <c r="G71" s="22"/>
      <c r="H71" s="27"/>
      <c r="I71" s="33"/>
      <c r="J71" s="33"/>
      <c r="K71" s="33"/>
      <c r="L71" s="33"/>
      <c r="M71" s="33"/>
      <c r="N71" s="6"/>
      <c r="O71" s="23" t="str">
        <f t="shared" si="3"/>
        <v>FALTA</v>
      </c>
      <c r="P71" s="6" t="str">
        <f t="shared" si="4"/>
        <v>OK</v>
      </c>
      <c r="Q71" s="12">
        <f>INDEX(Calendario!$B$5:$B$16,MATCH($A71,Calendario!$A$5:$A$16,0))</f>
        <v>46314</v>
      </c>
      <c r="R71" s="12">
        <f>INDEX(Calendario!$C$5:$C$16,MATCH($A71,Calendario!$A$5:$A$16,0))</f>
        <v>46327</v>
      </c>
      <c r="S71" s="6" t="str">
        <f t="shared" si="5"/>
        <v>19/10/YYYY - 20/10/YYYY</v>
      </c>
    </row>
    <row r="72" spans="1:19" x14ac:dyDescent="0.25">
      <c r="A72" s="6">
        <v>3</v>
      </c>
      <c r="B72" s="13" t="str">
        <f>Alumnos!B24</f>
        <v>Alumno 23</v>
      </c>
      <c r="C72" s="13"/>
      <c r="D72" s="13"/>
      <c r="E72" s="13"/>
      <c r="F72" s="13"/>
      <c r="G72" s="22"/>
      <c r="H72" s="27"/>
      <c r="I72" s="33"/>
      <c r="J72" s="33"/>
      <c r="K72" s="33"/>
      <c r="L72" s="33"/>
      <c r="M72" s="33"/>
      <c r="N72" s="6"/>
      <c r="O72" s="23" t="str">
        <f t="shared" si="3"/>
        <v>FALTA</v>
      </c>
      <c r="P72" s="6" t="str">
        <f t="shared" si="4"/>
        <v>OK</v>
      </c>
      <c r="Q72" s="12">
        <f>INDEX(Calendario!$B$5:$B$16,MATCH($A72,Calendario!$A$5:$A$16,0))</f>
        <v>46314</v>
      </c>
      <c r="R72" s="12">
        <f>INDEX(Calendario!$C$5:$C$16,MATCH($A72,Calendario!$A$5:$A$16,0))</f>
        <v>46327</v>
      </c>
      <c r="S72" s="6" t="str">
        <f t="shared" si="5"/>
        <v>19/10/YYYY - 20/10/YYYY</v>
      </c>
    </row>
    <row r="73" spans="1:19" x14ac:dyDescent="0.25">
      <c r="A73" s="6">
        <v>3</v>
      </c>
      <c r="B73" s="13" t="str">
        <f>Alumnos!B25</f>
        <v>Alumno 24</v>
      </c>
      <c r="C73" s="13"/>
      <c r="D73" s="13"/>
      <c r="E73" s="13"/>
      <c r="F73" s="13"/>
      <c r="G73" s="22"/>
      <c r="H73" s="27"/>
      <c r="I73" s="33"/>
      <c r="J73" s="33"/>
      <c r="K73" s="33"/>
      <c r="L73" s="33"/>
      <c r="M73" s="33"/>
      <c r="N73" s="6"/>
      <c r="O73" s="23" t="str">
        <f t="shared" si="3"/>
        <v>FALTA</v>
      </c>
      <c r="P73" s="6" t="str">
        <f t="shared" si="4"/>
        <v>OK</v>
      </c>
      <c r="Q73" s="12">
        <f>INDEX(Calendario!$B$5:$B$16,MATCH($A73,Calendario!$A$5:$A$16,0))</f>
        <v>46314</v>
      </c>
      <c r="R73" s="12">
        <f>INDEX(Calendario!$C$5:$C$16,MATCH($A73,Calendario!$A$5:$A$16,0))</f>
        <v>46327</v>
      </c>
      <c r="S73" s="6" t="str">
        <f t="shared" si="5"/>
        <v>19/10/YYYY - 20/10/YYYY</v>
      </c>
    </row>
    <row r="74" spans="1:19" x14ac:dyDescent="0.25">
      <c r="A74" s="20">
        <v>4</v>
      </c>
      <c r="B74" s="21" t="str">
        <f>Alumnos!B2</f>
        <v>Alumno 1</v>
      </c>
      <c r="C74" s="21"/>
      <c r="D74" s="21"/>
      <c r="E74" s="21"/>
      <c r="F74" s="21"/>
      <c r="G74" s="25"/>
      <c r="H74" s="28"/>
      <c r="I74" s="34"/>
      <c r="J74" s="34"/>
      <c r="K74" s="34"/>
      <c r="L74" s="34"/>
      <c r="M74" s="34"/>
      <c r="N74" s="20"/>
      <c r="O74" s="23" t="str">
        <f t="shared" si="3"/>
        <v>FALTA</v>
      </c>
      <c r="P74" s="6" t="str">
        <f t="shared" si="4"/>
        <v>OK</v>
      </c>
      <c r="Q74" s="12">
        <f>INDEX(Calendario!$B$5:$B$16,MATCH($A74,Calendario!$A$5:$A$16,0))</f>
        <v>46328</v>
      </c>
      <c r="R74" s="12">
        <f>INDEX(Calendario!$C$5:$C$16,MATCH($A74,Calendario!$A$5:$A$16,0))</f>
        <v>46341</v>
      </c>
      <c r="S74" s="6" t="str">
        <f t="shared" si="5"/>
        <v>02/11/YYYY - 03/11/YYYY</v>
      </c>
    </row>
    <row r="75" spans="1:19" x14ac:dyDescent="0.25">
      <c r="A75" s="6">
        <v>4</v>
      </c>
      <c r="B75" s="13" t="str">
        <f>Alumnos!B3</f>
        <v>Alumno 2</v>
      </c>
      <c r="C75" s="13"/>
      <c r="D75" s="13"/>
      <c r="E75" s="13"/>
      <c r="F75" s="13"/>
      <c r="G75" s="22"/>
      <c r="H75" s="27"/>
      <c r="I75" s="33"/>
      <c r="J75" s="33"/>
      <c r="K75" s="33"/>
      <c r="L75" s="33"/>
      <c r="M75" s="33"/>
      <c r="N75" s="6"/>
      <c r="O75" s="23" t="str">
        <f t="shared" si="3"/>
        <v>FALTA</v>
      </c>
      <c r="P75" s="6" t="str">
        <f t="shared" si="4"/>
        <v>OK</v>
      </c>
      <c r="Q75" s="12">
        <f>INDEX(Calendario!$B$5:$B$16,MATCH($A75,Calendario!$A$5:$A$16,0))</f>
        <v>46328</v>
      </c>
      <c r="R75" s="12">
        <f>INDEX(Calendario!$C$5:$C$16,MATCH($A75,Calendario!$A$5:$A$16,0))</f>
        <v>46341</v>
      </c>
      <c r="S75" s="6" t="str">
        <f t="shared" si="5"/>
        <v>02/11/YYYY - 03/11/YYYY</v>
      </c>
    </row>
    <row r="76" spans="1:19" x14ac:dyDescent="0.25">
      <c r="A76" s="6">
        <v>4</v>
      </c>
      <c r="B76" s="13" t="str">
        <f>Alumnos!B4</f>
        <v>Alumno 3</v>
      </c>
      <c r="C76" s="13"/>
      <c r="D76" s="13"/>
      <c r="E76" s="13"/>
      <c r="F76" s="13"/>
      <c r="G76" s="22"/>
      <c r="H76" s="27"/>
      <c r="I76" s="33"/>
      <c r="J76" s="33"/>
      <c r="K76" s="33"/>
      <c r="L76" s="33"/>
      <c r="M76" s="33"/>
      <c r="N76" s="6"/>
      <c r="O76" s="23" t="str">
        <f t="shared" si="3"/>
        <v>FALTA</v>
      </c>
      <c r="P76" s="6" t="str">
        <f t="shared" si="4"/>
        <v>OK</v>
      </c>
      <c r="Q76" s="12">
        <f>INDEX(Calendario!$B$5:$B$16,MATCH($A76,Calendario!$A$5:$A$16,0))</f>
        <v>46328</v>
      </c>
      <c r="R76" s="12">
        <f>INDEX(Calendario!$C$5:$C$16,MATCH($A76,Calendario!$A$5:$A$16,0))</f>
        <v>46341</v>
      </c>
      <c r="S76" s="6" t="str">
        <f t="shared" si="5"/>
        <v>02/11/YYYY - 03/11/YYYY</v>
      </c>
    </row>
    <row r="77" spans="1:19" x14ac:dyDescent="0.25">
      <c r="A77" s="6">
        <v>4</v>
      </c>
      <c r="B77" s="13" t="str">
        <f>Alumnos!B5</f>
        <v>Alumno 4</v>
      </c>
      <c r="C77" s="13"/>
      <c r="D77" s="13"/>
      <c r="E77" s="13"/>
      <c r="F77" s="13"/>
      <c r="G77" s="22"/>
      <c r="H77" s="27"/>
      <c r="I77" s="33"/>
      <c r="J77" s="33"/>
      <c r="K77" s="33"/>
      <c r="L77" s="33"/>
      <c r="M77" s="33"/>
      <c r="N77" s="6"/>
      <c r="O77" s="23" t="str">
        <f t="shared" si="3"/>
        <v>FALTA</v>
      </c>
      <c r="P77" s="6" t="str">
        <f t="shared" si="4"/>
        <v>OK</v>
      </c>
      <c r="Q77" s="12">
        <f>INDEX(Calendario!$B$5:$B$16,MATCH($A77,Calendario!$A$5:$A$16,0))</f>
        <v>46328</v>
      </c>
      <c r="R77" s="12">
        <f>INDEX(Calendario!$C$5:$C$16,MATCH($A77,Calendario!$A$5:$A$16,0))</f>
        <v>46341</v>
      </c>
      <c r="S77" s="6" t="str">
        <f t="shared" si="5"/>
        <v>02/11/YYYY - 03/11/YYYY</v>
      </c>
    </row>
    <row r="78" spans="1:19" x14ac:dyDescent="0.25">
      <c r="A78" s="6">
        <v>4</v>
      </c>
      <c r="B78" s="13" t="str">
        <f>Alumnos!B6</f>
        <v>Alumno 5</v>
      </c>
      <c r="C78" s="13"/>
      <c r="D78" s="13"/>
      <c r="E78" s="13"/>
      <c r="F78" s="13"/>
      <c r="G78" s="22"/>
      <c r="H78" s="27"/>
      <c r="I78" s="33"/>
      <c r="J78" s="33"/>
      <c r="K78" s="33"/>
      <c r="L78" s="33"/>
      <c r="M78" s="33"/>
      <c r="N78" s="6"/>
      <c r="O78" s="23" t="str">
        <f t="shared" si="3"/>
        <v>FALTA</v>
      </c>
      <c r="P78" s="6" t="str">
        <f t="shared" si="4"/>
        <v>OK</v>
      </c>
      <c r="Q78" s="12">
        <f>INDEX(Calendario!$B$5:$B$16,MATCH($A78,Calendario!$A$5:$A$16,0))</f>
        <v>46328</v>
      </c>
      <c r="R78" s="12">
        <f>INDEX(Calendario!$C$5:$C$16,MATCH($A78,Calendario!$A$5:$A$16,0))</f>
        <v>46341</v>
      </c>
      <c r="S78" s="6" t="str">
        <f t="shared" si="5"/>
        <v>02/11/YYYY - 03/11/YYYY</v>
      </c>
    </row>
    <row r="79" spans="1:19" x14ac:dyDescent="0.25">
      <c r="A79" s="6">
        <v>4</v>
      </c>
      <c r="B79" s="13" t="str">
        <f>Alumnos!B7</f>
        <v>Alumno 6</v>
      </c>
      <c r="C79" s="13"/>
      <c r="D79" s="13"/>
      <c r="E79" s="13"/>
      <c r="F79" s="13"/>
      <c r="G79" s="22"/>
      <c r="H79" s="27"/>
      <c r="I79" s="33"/>
      <c r="J79" s="33"/>
      <c r="K79" s="33"/>
      <c r="L79" s="33"/>
      <c r="M79" s="33"/>
      <c r="N79" s="6"/>
      <c r="O79" s="23" t="str">
        <f t="shared" si="3"/>
        <v>FALTA</v>
      </c>
      <c r="P79" s="6" t="str">
        <f t="shared" si="4"/>
        <v>OK</v>
      </c>
      <c r="Q79" s="12">
        <f>INDEX(Calendario!$B$5:$B$16,MATCH($A79,Calendario!$A$5:$A$16,0))</f>
        <v>46328</v>
      </c>
      <c r="R79" s="12">
        <f>INDEX(Calendario!$C$5:$C$16,MATCH($A79,Calendario!$A$5:$A$16,0))</f>
        <v>46341</v>
      </c>
      <c r="S79" s="6" t="str">
        <f t="shared" si="5"/>
        <v>02/11/YYYY - 03/11/YYYY</v>
      </c>
    </row>
    <row r="80" spans="1:19" x14ac:dyDescent="0.25">
      <c r="A80" s="6">
        <v>4</v>
      </c>
      <c r="B80" s="13" t="str">
        <f>Alumnos!B8</f>
        <v>Alumno 7</v>
      </c>
      <c r="C80" s="13"/>
      <c r="D80" s="13"/>
      <c r="E80" s="13"/>
      <c r="F80" s="13"/>
      <c r="G80" s="22"/>
      <c r="H80" s="27"/>
      <c r="I80" s="33"/>
      <c r="J80" s="33"/>
      <c r="K80" s="33"/>
      <c r="L80" s="33"/>
      <c r="M80" s="33"/>
      <c r="N80" s="6"/>
      <c r="O80" s="23" t="str">
        <f t="shared" si="3"/>
        <v>FALTA</v>
      </c>
      <c r="P80" s="6" t="str">
        <f t="shared" si="4"/>
        <v>OK</v>
      </c>
      <c r="Q80" s="12">
        <f>INDEX(Calendario!$B$5:$B$16,MATCH($A80,Calendario!$A$5:$A$16,0))</f>
        <v>46328</v>
      </c>
      <c r="R80" s="12">
        <f>INDEX(Calendario!$C$5:$C$16,MATCH($A80,Calendario!$A$5:$A$16,0))</f>
        <v>46341</v>
      </c>
      <c r="S80" s="6" t="str">
        <f t="shared" si="5"/>
        <v>02/11/YYYY - 03/11/YYYY</v>
      </c>
    </row>
    <row r="81" spans="1:19" x14ac:dyDescent="0.25">
      <c r="A81" s="6">
        <v>4</v>
      </c>
      <c r="B81" s="13" t="str">
        <f>Alumnos!B9</f>
        <v>Alumno 8</v>
      </c>
      <c r="C81" s="13"/>
      <c r="D81" s="13"/>
      <c r="E81" s="13"/>
      <c r="F81" s="13"/>
      <c r="G81" s="22"/>
      <c r="H81" s="27"/>
      <c r="I81" s="33"/>
      <c r="J81" s="33"/>
      <c r="K81" s="33"/>
      <c r="L81" s="33"/>
      <c r="M81" s="33"/>
      <c r="N81" s="6"/>
      <c r="O81" s="23" t="str">
        <f t="shared" si="3"/>
        <v>FALTA</v>
      </c>
      <c r="P81" s="6" t="str">
        <f t="shared" si="4"/>
        <v>OK</v>
      </c>
      <c r="Q81" s="12">
        <f>INDEX(Calendario!$B$5:$B$16,MATCH($A81,Calendario!$A$5:$A$16,0))</f>
        <v>46328</v>
      </c>
      <c r="R81" s="12">
        <f>INDEX(Calendario!$C$5:$C$16,MATCH($A81,Calendario!$A$5:$A$16,0))</f>
        <v>46341</v>
      </c>
      <c r="S81" s="6" t="str">
        <f t="shared" si="5"/>
        <v>02/11/YYYY - 03/11/YYYY</v>
      </c>
    </row>
    <row r="82" spans="1:19" x14ac:dyDescent="0.25">
      <c r="A82" s="6">
        <v>4</v>
      </c>
      <c r="B82" s="13" t="str">
        <f>Alumnos!B10</f>
        <v>Alumno 9</v>
      </c>
      <c r="C82" s="13"/>
      <c r="D82" s="13"/>
      <c r="E82" s="13"/>
      <c r="F82" s="13"/>
      <c r="G82" s="22"/>
      <c r="H82" s="27"/>
      <c r="I82" s="33"/>
      <c r="J82" s="33"/>
      <c r="K82" s="33"/>
      <c r="L82" s="33"/>
      <c r="M82" s="33"/>
      <c r="N82" s="6"/>
      <c r="O82" s="23" t="str">
        <f t="shared" si="3"/>
        <v>FALTA</v>
      </c>
      <c r="P82" s="6" t="str">
        <f t="shared" si="4"/>
        <v>OK</v>
      </c>
      <c r="Q82" s="12">
        <f>INDEX(Calendario!$B$5:$B$16,MATCH($A82,Calendario!$A$5:$A$16,0))</f>
        <v>46328</v>
      </c>
      <c r="R82" s="12">
        <f>INDEX(Calendario!$C$5:$C$16,MATCH($A82,Calendario!$A$5:$A$16,0))</f>
        <v>46341</v>
      </c>
      <c r="S82" s="6" t="str">
        <f t="shared" si="5"/>
        <v>02/11/YYYY - 03/11/YYYY</v>
      </c>
    </row>
    <row r="83" spans="1:19" x14ac:dyDescent="0.25">
      <c r="A83" s="6">
        <v>4</v>
      </c>
      <c r="B83" s="13" t="str">
        <f>Alumnos!B11</f>
        <v>Alumno 10</v>
      </c>
      <c r="C83" s="13"/>
      <c r="D83" s="13"/>
      <c r="E83" s="13"/>
      <c r="F83" s="13"/>
      <c r="G83" s="22"/>
      <c r="H83" s="27"/>
      <c r="I83" s="33"/>
      <c r="J83" s="33"/>
      <c r="K83" s="33"/>
      <c r="L83" s="33"/>
      <c r="M83" s="33"/>
      <c r="N83" s="6"/>
      <c r="O83" s="23" t="str">
        <f t="shared" si="3"/>
        <v>FALTA</v>
      </c>
      <c r="P83" s="6" t="str">
        <f t="shared" si="4"/>
        <v>OK</v>
      </c>
      <c r="Q83" s="12">
        <f>INDEX(Calendario!$B$5:$B$16,MATCH($A83,Calendario!$A$5:$A$16,0))</f>
        <v>46328</v>
      </c>
      <c r="R83" s="12">
        <f>INDEX(Calendario!$C$5:$C$16,MATCH($A83,Calendario!$A$5:$A$16,0))</f>
        <v>46341</v>
      </c>
      <c r="S83" s="6" t="str">
        <f t="shared" si="5"/>
        <v>02/11/YYYY - 03/11/YYYY</v>
      </c>
    </row>
    <row r="84" spans="1:19" x14ac:dyDescent="0.25">
      <c r="A84" s="6">
        <v>4</v>
      </c>
      <c r="B84" s="13" t="str">
        <f>Alumnos!B12</f>
        <v>Alumno 11</v>
      </c>
      <c r="C84" s="13"/>
      <c r="D84" s="13"/>
      <c r="E84" s="13"/>
      <c r="F84" s="13"/>
      <c r="G84" s="22"/>
      <c r="H84" s="27"/>
      <c r="I84" s="33"/>
      <c r="J84" s="33"/>
      <c r="K84" s="33"/>
      <c r="L84" s="33"/>
      <c r="M84" s="33"/>
      <c r="N84" s="6"/>
      <c r="O84" s="23" t="str">
        <f t="shared" si="3"/>
        <v>FALTA</v>
      </c>
      <c r="P84" s="6" t="str">
        <f t="shared" si="4"/>
        <v>OK</v>
      </c>
      <c r="Q84" s="12">
        <f>INDEX(Calendario!$B$5:$B$16,MATCH($A84,Calendario!$A$5:$A$16,0))</f>
        <v>46328</v>
      </c>
      <c r="R84" s="12">
        <f>INDEX(Calendario!$C$5:$C$16,MATCH($A84,Calendario!$A$5:$A$16,0))</f>
        <v>46341</v>
      </c>
      <c r="S84" s="6" t="str">
        <f t="shared" si="5"/>
        <v>02/11/YYYY - 03/11/YYYY</v>
      </c>
    </row>
    <row r="85" spans="1:19" x14ac:dyDescent="0.25">
      <c r="A85" s="6">
        <v>4</v>
      </c>
      <c r="B85" s="13" t="str">
        <f>Alumnos!B13</f>
        <v>Alumno 12</v>
      </c>
      <c r="C85" s="13"/>
      <c r="D85" s="13"/>
      <c r="E85" s="13"/>
      <c r="F85" s="13"/>
      <c r="G85" s="22"/>
      <c r="H85" s="27"/>
      <c r="I85" s="33"/>
      <c r="J85" s="33"/>
      <c r="K85" s="33"/>
      <c r="L85" s="33"/>
      <c r="M85" s="33"/>
      <c r="N85" s="6"/>
      <c r="O85" s="23" t="str">
        <f t="shared" si="3"/>
        <v>FALTA</v>
      </c>
      <c r="P85" s="6" t="str">
        <f t="shared" si="4"/>
        <v>OK</v>
      </c>
      <c r="Q85" s="12">
        <f>INDEX(Calendario!$B$5:$B$16,MATCH($A85,Calendario!$A$5:$A$16,0))</f>
        <v>46328</v>
      </c>
      <c r="R85" s="12">
        <f>INDEX(Calendario!$C$5:$C$16,MATCH($A85,Calendario!$A$5:$A$16,0))</f>
        <v>46341</v>
      </c>
      <c r="S85" s="6" t="str">
        <f t="shared" si="5"/>
        <v>02/11/YYYY - 03/11/YYYY</v>
      </c>
    </row>
    <row r="86" spans="1:19" x14ac:dyDescent="0.25">
      <c r="A86" s="6">
        <v>4</v>
      </c>
      <c r="B86" s="13" t="str">
        <f>Alumnos!B14</f>
        <v>Alumno 13</v>
      </c>
      <c r="C86" s="13"/>
      <c r="D86" s="13"/>
      <c r="E86" s="13"/>
      <c r="F86" s="13"/>
      <c r="G86" s="22"/>
      <c r="H86" s="27"/>
      <c r="I86" s="33"/>
      <c r="J86" s="33"/>
      <c r="K86" s="33"/>
      <c r="L86" s="33"/>
      <c r="M86" s="33"/>
      <c r="N86" s="6"/>
      <c r="O86" s="23" t="str">
        <f t="shared" si="3"/>
        <v>FALTA</v>
      </c>
      <c r="P86" s="6" t="str">
        <f t="shared" si="4"/>
        <v>OK</v>
      </c>
      <c r="Q86" s="12">
        <f>INDEX(Calendario!$B$5:$B$16,MATCH($A86,Calendario!$A$5:$A$16,0))</f>
        <v>46328</v>
      </c>
      <c r="R86" s="12">
        <f>INDEX(Calendario!$C$5:$C$16,MATCH($A86,Calendario!$A$5:$A$16,0))</f>
        <v>46341</v>
      </c>
      <c r="S86" s="6" t="str">
        <f t="shared" si="5"/>
        <v>02/11/YYYY - 03/11/YYYY</v>
      </c>
    </row>
    <row r="87" spans="1:19" x14ac:dyDescent="0.25">
      <c r="A87" s="6">
        <v>4</v>
      </c>
      <c r="B87" s="13" t="str">
        <f>Alumnos!B15</f>
        <v>Alumno 14</v>
      </c>
      <c r="C87" s="13"/>
      <c r="D87" s="13"/>
      <c r="E87" s="13"/>
      <c r="F87" s="13"/>
      <c r="G87" s="22"/>
      <c r="H87" s="27"/>
      <c r="I87" s="33"/>
      <c r="J87" s="33"/>
      <c r="K87" s="33"/>
      <c r="L87" s="33"/>
      <c r="M87" s="33"/>
      <c r="N87" s="6"/>
      <c r="O87" s="23" t="str">
        <f t="shared" si="3"/>
        <v>FALTA</v>
      </c>
      <c r="P87" s="6" t="str">
        <f t="shared" si="4"/>
        <v>OK</v>
      </c>
      <c r="Q87" s="12">
        <f>INDEX(Calendario!$B$5:$B$16,MATCH($A87,Calendario!$A$5:$A$16,0))</f>
        <v>46328</v>
      </c>
      <c r="R87" s="12">
        <f>INDEX(Calendario!$C$5:$C$16,MATCH($A87,Calendario!$A$5:$A$16,0))</f>
        <v>46341</v>
      </c>
      <c r="S87" s="6" t="str">
        <f t="shared" si="5"/>
        <v>02/11/YYYY - 03/11/YYYY</v>
      </c>
    </row>
    <row r="88" spans="1:19" x14ac:dyDescent="0.25">
      <c r="A88" s="6">
        <v>4</v>
      </c>
      <c r="B88" s="13" t="str">
        <f>Alumnos!B16</f>
        <v>Alumno 15</v>
      </c>
      <c r="C88" s="13"/>
      <c r="D88" s="13"/>
      <c r="E88" s="13"/>
      <c r="F88" s="13"/>
      <c r="G88" s="22"/>
      <c r="H88" s="27"/>
      <c r="I88" s="33"/>
      <c r="J88" s="33"/>
      <c r="K88" s="33"/>
      <c r="L88" s="33"/>
      <c r="M88" s="33"/>
      <c r="N88" s="6"/>
      <c r="O88" s="23" t="str">
        <f t="shared" si="3"/>
        <v>FALTA</v>
      </c>
      <c r="P88" s="6" t="str">
        <f t="shared" si="4"/>
        <v>OK</v>
      </c>
      <c r="Q88" s="12">
        <f>INDEX(Calendario!$B$5:$B$16,MATCH($A88,Calendario!$A$5:$A$16,0))</f>
        <v>46328</v>
      </c>
      <c r="R88" s="12">
        <f>INDEX(Calendario!$C$5:$C$16,MATCH($A88,Calendario!$A$5:$A$16,0))</f>
        <v>46341</v>
      </c>
      <c r="S88" s="6" t="str">
        <f t="shared" si="5"/>
        <v>02/11/YYYY - 03/11/YYYY</v>
      </c>
    </row>
    <row r="89" spans="1:19" x14ac:dyDescent="0.25">
      <c r="A89" s="6">
        <v>4</v>
      </c>
      <c r="B89" s="13" t="str">
        <f>Alumnos!B17</f>
        <v>Alumno 16</v>
      </c>
      <c r="C89" s="13"/>
      <c r="D89" s="13"/>
      <c r="E89" s="13"/>
      <c r="F89" s="13"/>
      <c r="G89" s="22"/>
      <c r="H89" s="27"/>
      <c r="I89" s="33"/>
      <c r="J89" s="33"/>
      <c r="K89" s="33"/>
      <c r="L89" s="33"/>
      <c r="M89" s="33"/>
      <c r="N89" s="6"/>
      <c r="O89" s="23" t="str">
        <f t="shared" si="3"/>
        <v>FALTA</v>
      </c>
      <c r="P89" s="6" t="str">
        <f t="shared" si="4"/>
        <v>OK</v>
      </c>
      <c r="Q89" s="12">
        <f>INDEX(Calendario!$B$5:$B$16,MATCH($A89,Calendario!$A$5:$A$16,0))</f>
        <v>46328</v>
      </c>
      <c r="R89" s="12">
        <f>INDEX(Calendario!$C$5:$C$16,MATCH($A89,Calendario!$A$5:$A$16,0))</f>
        <v>46341</v>
      </c>
      <c r="S89" s="6" t="str">
        <f t="shared" si="5"/>
        <v>02/11/YYYY - 03/11/YYYY</v>
      </c>
    </row>
    <row r="90" spans="1:19" x14ac:dyDescent="0.25">
      <c r="A90" s="6">
        <v>4</v>
      </c>
      <c r="B90" s="13" t="str">
        <f>Alumnos!B18</f>
        <v>Alumno 17</v>
      </c>
      <c r="C90" s="13"/>
      <c r="D90" s="13"/>
      <c r="E90" s="13"/>
      <c r="F90" s="13"/>
      <c r="G90" s="22"/>
      <c r="H90" s="27"/>
      <c r="I90" s="33"/>
      <c r="J90" s="33"/>
      <c r="K90" s="33"/>
      <c r="L90" s="33"/>
      <c r="M90" s="33"/>
      <c r="N90" s="6"/>
      <c r="O90" s="23" t="str">
        <f t="shared" si="3"/>
        <v>FALTA</v>
      </c>
      <c r="P90" s="6" t="str">
        <f t="shared" si="4"/>
        <v>OK</v>
      </c>
      <c r="Q90" s="12">
        <f>INDEX(Calendario!$B$5:$B$16,MATCH($A90,Calendario!$A$5:$A$16,0))</f>
        <v>46328</v>
      </c>
      <c r="R90" s="12">
        <f>INDEX(Calendario!$C$5:$C$16,MATCH($A90,Calendario!$A$5:$A$16,0))</f>
        <v>46341</v>
      </c>
      <c r="S90" s="6" t="str">
        <f t="shared" si="5"/>
        <v>02/11/YYYY - 03/11/YYYY</v>
      </c>
    </row>
    <row r="91" spans="1:19" x14ac:dyDescent="0.25">
      <c r="A91" s="6">
        <v>4</v>
      </c>
      <c r="B91" s="13" t="str">
        <f>Alumnos!B19</f>
        <v>Alumno 18</v>
      </c>
      <c r="C91" s="13"/>
      <c r="D91" s="13"/>
      <c r="E91" s="13"/>
      <c r="F91" s="13"/>
      <c r="G91" s="22"/>
      <c r="H91" s="27"/>
      <c r="I91" s="33"/>
      <c r="J91" s="33"/>
      <c r="K91" s="33"/>
      <c r="L91" s="33"/>
      <c r="M91" s="33"/>
      <c r="N91" s="6"/>
      <c r="O91" s="23" t="str">
        <f t="shared" si="3"/>
        <v>FALTA</v>
      </c>
      <c r="P91" s="6" t="str">
        <f t="shared" si="4"/>
        <v>OK</v>
      </c>
      <c r="Q91" s="12">
        <f>INDEX(Calendario!$B$5:$B$16,MATCH($A91,Calendario!$A$5:$A$16,0))</f>
        <v>46328</v>
      </c>
      <c r="R91" s="12">
        <f>INDEX(Calendario!$C$5:$C$16,MATCH($A91,Calendario!$A$5:$A$16,0))</f>
        <v>46341</v>
      </c>
      <c r="S91" s="6" t="str">
        <f t="shared" si="5"/>
        <v>02/11/YYYY - 03/11/YYYY</v>
      </c>
    </row>
    <row r="92" spans="1:19" x14ac:dyDescent="0.25">
      <c r="A92" s="6">
        <v>4</v>
      </c>
      <c r="B92" s="13" t="str">
        <f>Alumnos!B20</f>
        <v>Alumno 19</v>
      </c>
      <c r="C92" s="13"/>
      <c r="D92" s="13"/>
      <c r="E92" s="13"/>
      <c r="F92" s="13"/>
      <c r="G92" s="22"/>
      <c r="H92" s="27"/>
      <c r="I92" s="33"/>
      <c r="J92" s="33"/>
      <c r="K92" s="33"/>
      <c r="L92" s="33"/>
      <c r="M92" s="33"/>
      <c r="N92" s="6"/>
      <c r="O92" s="23" t="str">
        <f t="shared" si="3"/>
        <v>FALTA</v>
      </c>
      <c r="P92" s="6" t="str">
        <f t="shared" si="4"/>
        <v>OK</v>
      </c>
      <c r="Q92" s="12">
        <f>INDEX(Calendario!$B$5:$B$16,MATCH($A92,Calendario!$A$5:$A$16,0))</f>
        <v>46328</v>
      </c>
      <c r="R92" s="12">
        <f>INDEX(Calendario!$C$5:$C$16,MATCH($A92,Calendario!$A$5:$A$16,0))</f>
        <v>46341</v>
      </c>
      <c r="S92" s="6" t="str">
        <f t="shared" si="5"/>
        <v>02/11/YYYY - 03/11/YYYY</v>
      </c>
    </row>
    <row r="93" spans="1:19" x14ac:dyDescent="0.25">
      <c r="A93" s="6">
        <v>4</v>
      </c>
      <c r="B93" s="13" t="str">
        <f>Alumnos!B21</f>
        <v>Alumno 20</v>
      </c>
      <c r="C93" s="13"/>
      <c r="D93" s="13"/>
      <c r="E93" s="13"/>
      <c r="F93" s="13"/>
      <c r="G93" s="22"/>
      <c r="H93" s="27"/>
      <c r="I93" s="33"/>
      <c r="J93" s="33"/>
      <c r="K93" s="33"/>
      <c r="L93" s="33"/>
      <c r="M93" s="33"/>
      <c r="N93" s="6"/>
      <c r="O93" s="23" t="str">
        <f t="shared" si="3"/>
        <v>FALTA</v>
      </c>
      <c r="P93" s="6" t="str">
        <f t="shared" si="4"/>
        <v>OK</v>
      </c>
      <c r="Q93" s="12">
        <f>INDEX(Calendario!$B$5:$B$16,MATCH($A93,Calendario!$A$5:$A$16,0))</f>
        <v>46328</v>
      </c>
      <c r="R93" s="12">
        <f>INDEX(Calendario!$C$5:$C$16,MATCH($A93,Calendario!$A$5:$A$16,0))</f>
        <v>46341</v>
      </c>
      <c r="S93" s="6" t="str">
        <f t="shared" si="5"/>
        <v>02/11/YYYY - 03/11/YYYY</v>
      </c>
    </row>
    <row r="94" spans="1:19" x14ac:dyDescent="0.25">
      <c r="A94" s="6">
        <v>4</v>
      </c>
      <c r="B94" s="13" t="str">
        <f>Alumnos!B22</f>
        <v>Alumno 21</v>
      </c>
      <c r="C94" s="13"/>
      <c r="D94" s="13"/>
      <c r="E94" s="13"/>
      <c r="F94" s="13"/>
      <c r="G94" s="22"/>
      <c r="H94" s="27"/>
      <c r="I94" s="33"/>
      <c r="J94" s="33"/>
      <c r="K94" s="33"/>
      <c r="L94" s="33"/>
      <c r="M94" s="33"/>
      <c r="N94" s="6"/>
      <c r="O94" s="23" t="str">
        <f t="shared" si="3"/>
        <v>FALTA</v>
      </c>
      <c r="P94" s="6" t="str">
        <f t="shared" si="4"/>
        <v>OK</v>
      </c>
      <c r="Q94" s="12">
        <f>INDEX(Calendario!$B$5:$B$16,MATCH($A94,Calendario!$A$5:$A$16,0))</f>
        <v>46328</v>
      </c>
      <c r="R94" s="12">
        <f>INDEX(Calendario!$C$5:$C$16,MATCH($A94,Calendario!$A$5:$A$16,0))</f>
        <v>46341</v>
      </c>
      <c r="S94" s="6" t="str">
        <f t="shared" si="5"/>
        <v>02/11/YYYY - 03/11/YYYY</v>
      </c>
    </row>
    <row r="95" spans="1:19" x14ac:dyDescent="0.25">
      <c r="A95" s="6">
        <v>4</v>
      </c>
      <c r="B95" s="13" t="str">
        <f>Alumnos!B23</f>
        <v>Alumno 22</v>
      </c>
      <c r="C95" s="13"/>
      <c r="D95" s="13"/>
      <c r="E95" s="13"/>
      <c r="F95" s="13"/>
      <c r="G95" s="22"/>
      <c r="H95" s="27"/>
      <c r="I95" s="33"/>
      <c r="J95" s="33"/>
      <c r="K95" s="33"/>
      <c r="L95" s="33"/>
      <c r="M95" s="33"/>
      <c r="N95" s="6"/>
      <c r="O95" s="23" t="str">
        <f t="shared" si="3"/>
        <v>FALTA</v>
      </c>
      <c r="P95" s="6" t="str">
        <f t="shared" si="4"/>
        <v>OK</v>
      </c>
      <c r="Q95" s="12">
        <f>INDEX(Calendario!$B$5:$B$16,MATCH($A95,Calendario!$A$5:$A$16,0))</f>
        <v>46328</v>
      </c>
      <c r="R95" s="12">
        <f>INDEX(Calendario!$C$5:$C$16,MATCH($A95,Calendario!$A$5:$A$16,0))</f>
        <v>46341</v>
      </c>
      <c r="S95" s="6" t="str">
        <f t="shared" si="5"/>
        <v>02/11/YYYY - 03/11/YYYY</v>
      </c>
    </row>
    <row r="96" spans="1:19" x14ac:dyDescent="0.25">
      <c r="A96" s="6">
        <v>4</v>
      </c>
      <c r="B96" s="13" t="str">
        <f>Alumnos!B24</f>
        <v>Alumno 23</v>
      </c>
      <c r="C96" s="13"/>
      <c r="D96" s="13"/>
      <c r="E96" s="13"/>
      <c r="F96" s="13"/>
      <c r="G96" s="22"/>
      <c r="H96" s="27"/>
      <c r="I96" s="33"/>
      <c r="J96" s="33"/>
      <c r="K96" s="33"/>
      <c r="L96" s="33"/>
      <c r="M96" s="33"/>
      <c r="N96" s="6"/>
      <c r="O96" s="23" t="str">
        <f t="shared" si="3"/>
        <v>FALTA</v>
      </c>
      <c r="P96" s="6" t="str">
        <f t="shared" si="4"/>
        <v>OK</v>
      </c>
      <c r="Q96" s="12">
        <f>INDEX(Calendario!$B$5:$B$16,MATCH($A96,Calendario!$A$5:$A$16,0))</f>
        <v>46328</v>
      </c>
      <c r="R96" s="12">
        <f>INDEX(Calendario!$C$5:$C$16,MATCH($A96,Calendario!$A$5:$A$16,0))</f>
        <v>46341</v>
      </c>
      <c r="S96" s="6" t="str">
        <f t="shared" si="5"/>
        <v>02/11/YYYY - 03/11/YYYY</v>
      </c>
    </row>
    <row r="97" spans="1:19" x14ac:dyDescent="0.25">
      <c r="A97" s="6">
        <v>4</v>
      </c>
      <c r="B97" s="13" t="str">
        <f>Alumnos!B25</f>
        <v>Alumno 24</v>
      </c>
      <c r="C97" s="13"/>
      <c r="D97" s="13"/>
      <c r="E97" s="13"/>
      <c r="F97" s="13"/>
      <c r="G97" s="22"/>
      <c r="H97" s="27"/>
      <c r="I97" s="33"/>
      <c r="J97" s="33"/>
      <c r="K97" s="33"/>
      <c r="L97" s="33"/>
      <c r="M97" s="33"/>
      <c r="N97" s="6"/>
      <c r="O97" s="23" t="str">
        <f t="shared" si="3"/>
        <v>FALTA</v>
      </c>
      <c r="P97" s="6" t="str">
        <f t="shared" si="4"/>
        <v>OK</v>
      </c>
      <c r="Q97" s="12">
        <f>INDEX(Calendario!$B$5:$B$16,MATCH($A97,Calendario!$A$5:$A$16,0))</f>
        <v>46328</v>
      </c>
      <c r="R97" s="12">
        <f>INDEX(Calendario!$C$5:$C$16,MATCH($A97,Calendario!$A$5:$A$16,0))</f>
        <v>46341</v>
      </c>
      <c r="S97" s="6" t="str">
        <f t="shared" si="5"/>
        <v>02/11/YYYY - 03/11/YYYY</v>
      </c>
    </row>
    <row r="98" spans="1:19" x14ac:dyDescent="0.25">
      <c r="A98" s="20">
        <v>5</v>
      </c>
      <c r="B98" s="21" t="str">
        <f>Alumnos!B2</f>
        <v>Alumno 1</v>
      </c>
      <c r="C98" s="21"/>
      <c r="D98" s="21"/>
      <c r="E98" s="21"/>
      <c r="F98" s="21"/>
      <c r="G98" s="25"/>
      <c r="H98" s="28"/>
      <c r="I98" s="34"/>
      <c r="J98" s="34"/>
      <c r="K98" s="34"/>
      <c r="L98" s="34"/>
      <c r="M98" s="34"/>
      <c r="N98" s="20"/>
      <c r="O98" s="23" t="str">
        <f t="shared" si="3"/>
        <v>FALTA</v>
      </c>
      <c r="P98" s="6" t="str">
        <f t="shared" si="4"/>
        <v>OK</v>
      </c>
      <c r="Q98" s="12">
        <f>INDEX(Calendario!$B$5:$B$16,MATCH($A98,Calendario!$A$5:$A$16,0))</f>
        <v>46342</v>
      </c>
      <c r="R98" s="12">
        <f>INDEX(Calendario!$C$5:$C$16,MATCH($A98,Calendario!$A$5:$A$16,0))</f>
        <v>46355</v>
      </c>
      <c r="S98" s="6" t="str">
        <f t="shared" si="5"/>
        <v>16/11/YYYY - 17/11/YYYY</v>
      </c>
    </row>
    <row r="99" spans="1:19" x14ac:dyDescent="0.25">
      <c r="A99" s="6">
        <v>5</v>
      </c>
      <c r="B99" s="13" t="str">
        <f>Alumnos!B3</f>
        <v>Alumno 2</v>
      </c>
      <c r="C99" s="13"/>
      <c r="D99" s="13"/>
      <c r="E99" s="13"/>
      <c r="F99" s="13"/>
      <c r="G99" s="22"/>
      <c r="H99" s="27"/>
      <c r="I99" s="33"/>
      <c r="J99" s="33"/>
      <c r="K99" s="33"/>
      <c r="L99" s="33"/>
      <c r="M99" s="33"/>
      <c r="N99" s="6"/>
      <c r="O99" s="23" t="str">
        <f t="shared" si="3"/>
        <v>FALTA</v>
      </c>
      <c r="P99" s="6" t="str">
        <f t="shared" si="4"/>
        <v>OK</v>
      </c>
      <c r="Q99" s="12">
        <f>INDEX(Calendario!$B$5:$B$16,MATCH($A99,Calendario!$A$5:$A$16,0))</f>
        <v>46342</v>
      </c>
      <c r="R99" s="12">
        <f>INDEX(Calendario!$C$5:$C$16,MATCH($A99,Calendario!$A$5:$A$16,0))</f>
        <v>46355</v>
      </c>
      <c r="S99" s="6" t="str">
        <f t="shared" si="5"/>
        <v>16/11/YYYY - 17/11/YYYY</v>
      </c>
    </row>
    <row r="100" spans="1:19" x14ac:dyDescent="0.25">
      <c r="A100" s="6">
        <v>5</v>
      </c>
      <c r="B100" s="13" t="str">
        <f>Alumnos!B4</f>
        <v>Alumno 3</v>
      </c>
      <c r="C100" s="13"/>
      <c r="D100" s="13"/>
      <c r="E100" s="13"/>
      <c r="F100" s="13"/>
      <c r="G100" s="22"/>
      <c r="H100" s="27"/>
      <c r="I100" s="33"/>
      <c r="J100" s="33"/>
      <c r="K100" s="33"/>
      <c r="L100" s="33"/>
      <c r="M100" s="33"/>
      <c r="N100" s="6"/>
      <c r="O100" s="23" t="str">
        <f t="shared" si="3"/>
        <v>FALTA</v>
      </c>
      <c r="P100" s="6" t="str">
        <f t="shared" si="4"/>
        <v>OK</v>
      </c>
      <c r="Q100" s="12">
        <f>INDEX(Calendario!$B$5:$B$16,MATCH($A100,Calendario!$A$5:$A$16,0))</f>
        <v>46342</v>
      </c>
      <c r="R100" s="12">
        <f>INDEX(Calendario!$C$5:$C$16,MATCH($A100,Calendario!$A$5:$A$16,0))</f>
        <v>46355</v>
      </c>
      <c r="S100" s="6" t="str">
        <f t="shared" si="5"/>
        <v>16/11/YYYY - 17/11/YYYY</v>
      </c>
    </row>
    <row r="101" spans="1:19" x14ac:dyDescent="0.25">
      <c r="A101" s="6">
        <v>5</v>
      </c>
      <c r="B101" s="13" t="str">
        <f>Alumnos!B5</f>
        <v>Alumno 4</v>
      </c>
      <c r="C101" s="13"/>
      <c r="D101" s="13"/>
      <c r="E101" s="13"/>
      <c r="F101" s="13"/>
      <c r="G101" s="22"/>
      <c r="H101" s="27"/>
      <c r="I101" s="33"/>
      <c r="J101" s="33"/>
      <c r="K101" s="33"/>
      <c r="L101" s="33"/>
      <c r="M101" s="33"/>
      <c r="N101" s="6"/>
      <c r="O101" s="23" t="str">
        <f t="shared" si="3"/>
        <v>FALTA</v>
      </c>
      <c r="P101" s="6" t="str">
        <f t="shared" si="4"/>
        <v>OK</v>
      </c>
      <c r="Q101" s="12">
        <f>INDEX(Calendario!$B$5:$B$16,MATCH($A101,Calendario!$A$5:$A$16,0))</f>
        <v>46342</v>
      </c>
      <c r="R101" s="12">
        <f>INDEX(Calendario!$C$5:$C$16,MATCH($A101,Calendario!$A$5:$A$16,0))</f>
        <v>46355</v>
      </c>
      <c r="S101" s="6" t="str">
        <f t="shared" si="5"/>
        <v>16/11/YYYY - 17/11/YYYY</v>
      </c>
    </row>
    <row r="102" spans="1:19" x14ac:dyDescent="0.25">
      <c r="A102" s="6">
        <v>5</v>
      </c>
      <c r="B102" s="13" t="str">
        <f>Alumnos!B6</f>
        <v>Alumno 5</v>
      </c>
      <c r="C102" s="13"/>
      <c r="D102" s="13"/>
      <c r="E102" s="13"/>
      <c r="F102" s="13"/>
      <c r="G102" s="22"/>
      <c r="H102" s="27"/>
      <c r="I102" s="33"/>
      <c r="J102" s="33"/>
      <c r="K102" s="33"/>
      <c r="L102" s="33"/>
      <c r="M102" s="33"/>
      <c r="N102" s="6"/>
      <c r="O102" s="23" t="str">
        <f t="shared" si="3"/>
        <v>FALTA</v>
      </c>
      <c r="P102" s="6" t="str">
        <f t="shared" si="4"/>
        <v>OK</v>
      </c>
      <c r="Q102" s="12">
        <f>INDEX(Calendario!$B$5:$B$16,MATCH($A102,Calendario!$A$5:$A$16,0))</f>
        <v>46342</v>
      </c>
      <c r="R102" s="12">
        <f>INDEX(Calendario!$C$5:$C$16,MATCH($A102,Calendario!$A$5:$A$16,0))</f>
        <v>46355</v>
      </c>
      <c r="S102" s="6" t="str">
        <f t="shared" si="5"/>
        <v>16/11/YYYY - 17/11/YYYY</v>
      </c>
    </row>
    <row r="103" spans="1:19" x14ac:dyDescent="0.25">
      <c r="A103" s="6">
        <v>5</v>
      </c>
      <c r="B103" s="13" t="str">
        <f>Alumnos!B7</f>
        <v>Alumno 6</v>
      </c>
      <c r="C103" s="13"/>
      <c r="D103" s="13"/>
      <c r="E103" s="13"/>
      <c r="F103" s="13"/>
      <c r="G103" s="22"/>
      <c r="H103" s="27"/>
      <c r="I103" s="33"/>
      <c r="J103" s="33"/>
      <c r="K103" s="33"/>
      <c r="L103" s="33"/>
      <c r="M103" s="33"/>
      <c r="N103" s="6"/>
      <c r="O103" s="23" t="str">
        <f t="shared" si="3"/>
        <v>FALTA</v>
      </c>
      <c r="P103" s="6" t="str">
        <f t="shared" si="4"/>
        <v>OK</v>
      </c>
      <c r="Q103" s="12">
        <f>INDEX(Calendario!$B$5:$B$16,MATCH($A103,Calendario!$A$5:$A$16,0))</f>
        <v>46342</v>
      </c>
      <c r="R103" s="12">
        <f>INDEX(Calendario!$C$5:$C$16,MATCH($A103,Calendario!$A$5:$A$16,0))</f>
        <v>46355</v>
      </c>
      <c r="S103" s="6" t="str">
        <f t="shared" si="5"/>
        <v>16/11/YYYY - 17/11/YYYY</v>
      </c>
    </row>
    <row r="104" spans="1:19" x14ac:dyDescent="0.25">
      <c r="A104" s="6">
        <v>5</v>
      </c>
      <c r="B104" s="13" t="str">
        <f>Alumnos!B8</f>
        <v>Alumno 7</v>
      </c>
      <c r="C104" s="13"/>
      <c r="D104" s="13"/>
      <c r="E104" s="13"/>
      <c r="F104" s="13"/>
      <c r="G104" s="22"/>
      <c r="H104" s="27"/>
      <c r="I104" s="33"/>
      <c r="J104" s="33"/>
      <c r="K104" s="33"/>
      <c r="L104" s="33"/>
      <c r="M104" s="33"/>
      <c r="N104" s="6"/>
      <c r="O104" s="23" t="str">
        <f t="shared" si="3"/>
        <v>FALTA</v>
      </c>
      <c r="P104" s="6" t="str">
        <f t="shared" si="4"/>
        <v>OK</v>
      </c>
      <c r="Q104" s="12">
        <f>INDEX(Calendario!$B$5:$B$16,MATCH($A104,Calendario!$A$5:$A$16,0))</f>
        <v>46342</v>
      </c>
      <c r="R104" s="12">
        <f>INDEX(Calendario!$C$5:$C$16,MATCH($A104,Calendario!$A$5:$A$16,0))</f>
        <v>46355</v>
      </c>
      <c r="S104" s="6" t="str">
        <f t="shared" si="5"/>
        <v>16/11/YYYY - 17/11/YYYY</v>
      </c>
    </row>
    <row r="105" spans="1:19" x14ac:dyDescent="0.25">
      <c r="A105" s="6">
        <v>5</v>
      </c>
      <c r="B105" s="13" t="str">
        <f>Alumnos!B9</f>
        <v>Alumno 8</v>
      </c>
      <c r="C105" s="13"/>
      <c r="D105" s="13"/>
      <c r="E105" s="13"/>
      <c r="F105" s="13"/>
      <c r="G105" s="22"/>
      <c r="H105" s="27"/>
      <c r="I105" s="33"/>
      <c r="J105" s="33"/>
      <c r="K105" s="33"/>
      <c r="L105" s="33"/>
      <c r="M105" s="33"/>
      <c r="N105" s="6"/>
      <c r="O105" s="23" t="str">
        <f t="shared" si="3"/>
        <v>FALTA</v>
      </c>
      <c r="P105" s="6" t="str">
        <f t="shared" si="4"/>
        <v>OK</v>
      </c>
      <c r="Q105" s="12">
        <f>INDEX(Calendario!$B$5:$B$16,MATCH($A105,Calendario!$A$5:$A$16,0))</f>
        <v>46342</v>
      </c>
      <c r="R105" s="12">
        <f>INDEX(Calendario!$C$5:$C$16,MATCH($A105,Calendario!$A$5:$A$16,0))</f>
        <v>46355</v>
      </c>
      <c r="S105" s="6" t="str">
        <f t="shared" si="5"/>
        <v>16/11/YYYY - 17/11/YYYY</v>
      </c>
    </row>
    <row r="106" spans="1:19" x14ac:dyDescent="0.25">
      <c r="A106" s="6">
        <v>5</v>
      </c>
      <c r="B106" s="13" t="str">
        <f>Alumnos!B10</f>
        <v>Alumno 9</v>
      </c>
      <c r="C106" s="13"/>
      <c r="D106" s="13"/>
      <c r="E106" s="13"/>
      <c r="F106" s="13"/>
      <c r="G106" s="22"/>
      <c r="H106" s="27"/>
      <c r="I106" s="33"/>
      <c r="J106" s="33"/>
      <c r="K106" s="33"/>
      <c r="L106" s="33"/>
      <c r="M106" s="33"/>
      <c r="N106" s="6"/>
      <c r="O106" s="23" t="str">
        <f t="shared" si="3"/>
        <v>FALTA</v>
      </c>
      <c r="P106" s="6" t="str">
        <f t="shared" si="4"/>
        <v>OK</v>
      </c>
      <c r="Q106" s="12">
        <f>INDEX(Calendario!$B$5:$B$16,MATCH($A106,Calendario!$A$5:$A$16,0))</f>
        <v>46342</v>
      </c>
      <c r="R106" s="12">
        <f>INDEX(Calendario!$C$5:$C$16,MATCH($A106,Calendario!$A$5:$A$16,0))</f>
        <v>46355</v>
      </c>
      <c r="S106" s="6" t="str">
        <f t="shared" si="5"/>
        <v>16/11/YYYY - 17/11/YYYY</v>
      </c>
    </row>
    <row r="107" spans="1:19" x14ac:dyDescent="0.25">
      <c r="A107" s="6">
        <v>5</v>
      </c>
      <c r="B107" s="13" t="str">
        <f>Alumnos!B11</f>
        <v>Alumno 10</v>
      </c>
      <c r="C107" s="13"/>
      <c r="D107" s="13"/>
      <c r="E107" s="13"/>
      <c r="F107" s="13"/>
      <c r="G107" s="22"/>
      <c r="H107" s="27"/>
      <c r="I107" s="33"/>
      <c r="J107" s="33"/>
      <c r="K107" s="33"/>
      <c r="L107" s="33"/>
      <c r="M107" s="33"/>
      <c r="N107" s="6"/>
      <c r="O107" s="23" t="str">
        <f t="shared" si="3"/>
        <v>FALTA</v>
      </c>
      <c r="P107" s="6" t="str">
        <f t="shared" si="4"/>
        <v>OK</v>
      </c>
      <c r="Q107" s="12">
        <f>INDEX(Calendario!$B$5:$B$16,MATCH($A107,Calendario!$A$5:$A$16,0))</f>
        <v>46342</v>
      </c>
      <c r="R107" s="12">
        <f>INDEX(Calendario!$C$5:$C$16,MATCH($A107,Calendario!$A$5:$A$16,0))</f>
        <v>46355</v>
      </c>
      <c r="S107" s="6" t="str">
        <f t="shared" si="5"/>
        <v>16/11/YYYY - 17/11/YYYY</v>
      </c>
    </row>
    <row r="108" spans="1:19" x14ac:dyDescent="0.25">
      <c r="A108" s="6">
        <v>5</v>
      </c>
      <c r="B108" s="13" t="str">
        <f>Alumnos!B12</f>
        <v>Alumno 11</v>
      </c>
      <c r="C108" s="13"/>
      <c r="D108" s="13"/>
      <c r="E108" s="13"/>
      <c r="F108" s="13"/>
      <c r="G108" s="22"/>
      <c r="H108" s="27"/>
      <c r="I108" s="33"/>
      <c r="J108" s="33"/>
      <c r="K108" s="33"/>
      <c r="L108" s="33"/>
      <c r="M108" s="33"/>
      <c r="N108" s="6"/>
      <c r="O108" s="23" t="str">
        <f t="shared" si="3"/>
        <v>FALTA</v>
      </c>
      <c r="P108" s="6" t="str">
        <f t="shared" si="4"/>
        <v>OK</v>
      </c>
      <c r="Q108" s="12">
        <f>INDEX(Calendario!$B$5:$B$16,MATCH($A108,Calendario!$A$5:$A$16,0))</f>
        <v>46342</v>
      </c>
      <c r="R108" s="12">
        <f>INDEX(Calendario!$C$5:$C$16,MATCH($A108,Calendario!$A$5:$A$16,0))</f>
        <v>46355</v>
      </c>
      <c r="S108" s="6" t="str">
        <f t="shared" si="5"/>
        <v>16/11/YYYY - 17/11/YYYY</v>
      </c>
    </row>
    <row r="109" spans="1:19" x14ac:dyDescent="0.25">
      <c r="A109" s="6">
        <v>5</v>
      </c>
      <c r="B109" s="13" t="str">
        <f>Alumnos!B13</f>
        <v>Alumno 12</v>
      </c>
      <c r="C109" s="13"/>
      <c r="D109" s="13"/>
      <c r="E109" s="13"/>
      <c r="F109" s="13"/>
      <c r="G109" s="22"/>
      <c r="H109" s="27"/>
      <c r="I109" s="33"/>
      <c r="J109" s="33"/>
      <c r="K109" s="33"/>
      <c r="L109" s="33"/>
      <c r="M109" s="33"/>
      <c r="N109" s="6"/>
      <c r="O109" s="23" t="str">
        <f t="shared" si="3"/>
        <v>FALTA</v>
      </c>
      <c r="P109" s="6" t="str">
        <f t="shared" si="4"/>
        <v>OK</v>
      </c>
      <c r="Q109" s="12">
        <f>INDEX(Calendario!$B$5:$B$16,MATCH($A109,Calendario!$A$5:$A$16,0))</f>
        <v>46342</v>
      </c>
      <c r="R109" s="12">
        <f>INDEX(Calendario!$C$5:$C$16,MATCH($A109,Calendario!$A$5:$A$16,0))</f>
        <v>46355</v>
      </c>
      <c r="S109" s="6" t="str">
        <f t="shared" si="5"/>
        <v>16/11/YYYY - 17/11/YYYY</v>
      </c>
    </row>
    <row r="110" spans="1:19" x14ac:dyDescent="0.25">
      <c r="A110" s="6">
        <v>5</v>
      </c>
      <c r="B110" s="13" t="str">
        <f>Alumnos!B14</f>
        <v>Alumno 13</v>
      </c>
      <c r="C110" s="13"/>
      <c r="D110" s="13"/>
      <c r="E110" s="13"/>
      <c r="F110" s="13"/>
      <c r="G110" s="22"/>
      <c r="H110" s="27"/>
      <c r="I110" s="33"/>
      <c r="J110" s="33"/>
      <c r="K110" s="33"/>
      <c r="L110" s="33"/>
      <c r="M110" s="33"/>
      <c r="N110" s="6"/>
      <c r="O110" s="23" t="str">
        <f t="shared" si="3"/>
        <v>FALTA</v>
      </c>
      <c r="P110" s="6" t="str">
        <f t="shared" si="4"/>
        <v>OK</v>
      </c>
      <c r="Q110" s="12">
        <f>INDEX(Calendario!$B$5:$B$16,MATCH($A110,Calendario!$A$5:$A$16,0))</f>
        <v>46342</v>
      </c>
      <c r="R110" s="12">
        <f>INDEX(Calendario!$C$5:$C$16,MATCH($A110,Calendario!$A$5:$A$16,0))</f>
        <v>46355</v>
      </c>
      <c r="S110" s="6" t="str">
        <f t="shared" si="5"/>
        <v>16/11/YYYY - 17/11/YYYY</v>
      </c>
    </row>
    <row r="111" spans="1:19" x14ac:dyDescent="0.25">
      <c r="A111" s="6">
        <v>5</v>
      </c>
      <c r="B111" s="13" t="str">
        <f>Alumnos!B15</f>
        <v>Alumno 14</v>
      </c>
      <c r="C111" s="13"/>
      <c r="D111" s="13"/>
      <c r="E111" s="13"/>
      <c r="F111" s="13"/>
      <c r="G111" s="22"/>
      <c r="H111" s="27"/>
      <c r="I111" s="33"/>
      <c r="J111" s="33"/>
      <c r="K111" s="33"/>
      <c r="L111" s="33"/>
      <c r="M111" s="33"/>
      <c r="N111" s="6"/>
      <c r="O111" s="23" t="str">
        <f t="shared" si="3"/>
        <v>FALTA</v>
      </c>
      <c r="P111" s="6" t="str">
        <f t="shared" si="4"/>
        <v>OK</v>
      </c>
      <c r="Q111" s="12">
        <f>INDEX(Calendario!$B$5:$B$16,MATCH($A111,Calendario!$A$5:$A$16,0))</f>
        <v>46342</v>
      </c>
      <c r="R111" s="12">
        <f>INDEX(Calendario!$C$5:$C$16,MATCH($A111,Calendario!$A$5:$A$16,0))</f>
        <v>46355</v>
      </c>
      <c r="S111" s="6" t="str">
        <f t="shared" si="5"/>
        <v>16/11/YYYY - 17/11/YYYY</v>
      </c>
    </row>
    <row r="112" spans="1:19" x14ac:dyDescent="0.25">
      <c r="A112" s="6">
        <v>5</v>
      </c>
      <c r="B112" s="13" t="str">
        <f>Alumnos!B16</f>
        <v>Alumno 15</v>
      </c>
      <c r="C112" s="13"/>
      <c r="D112" s="13"/>
      <c r="E112" s="13"/>
      <c r="F112" s="13"/>
      <c r="G112" s="22"/>
      <c r="H112" s="27"/>
      <c r="I112" s="33"/>
      <c r="J112" s="33"/>
      <c r="K112" s="33"/>
      <c r="L112" s="33"/>
      <c r="M112" s="33"/>
      <c r="N112" s="6"/>
      <c r="O112" s="23" t="str">
        <f t="shared" si="3"/>
        <v>FALTA</v>
      </c>
      <c r="P112" s="6" t="str">
        <f t="shared" si="4"/>
        <v>OK</v>
      </c>
      <c r="Q112" s="12">
        <f>INDEX(Calendario!$B$5:$B$16,MATCH($A112,Calendario!$A$5:$A$16,0))</f>
        <v>46342</v>
      </c>
      <c r="R112" s="12">
        <f>INDEX(Calendario!$C$5:$C$16,MATCH($A112,Calendario!$A$5:$A$16,0))</f>
        <v>46355</v>
      </c>
      <c r="S112" s="6" t="str">
        <f t="shared" si="5"/>
        <v>16/11/YYYY - 17/11/YYYY</v>
      </c>
    </row>
    <row r="113" spans="1:19" x14ac:dyDescent="0.25">
      <c r="A113" s="6">
        <v>5</v>
      </c>
      <c r="B113" s="13" t="str">
        <f>Alumnos!B17</f>
        <v>Alumno 16</v>
      </c>
      <c r="C113" s="13"/>
      <c r="D113" s="13"/>
      <c r="E113" s="13"/>
      <c r="F113" s="13"/>
      <c r="G113" s="22"/>
      <c r="H113" s="27"/>
      <c r="I113" s="33"/>
      <c r="J113" s="33"/>
      <c r="K113" s="33"/>
      <c r="L113" s="33"/>
      <c r="M113" s="33"/>
      <c r="N113" s="6"/>
      <c r="O113" s="23" t="str">
        <f t="shared" si="3"/>
        <v>FALTA</v>
      </c>
      <c r="P113" s="6" t="str">
        <f t="shared" si="4"/>
        <v>OK</v>
      </c>
      <c r="Q113" s="12">
        <f>INDEX(Calendario!$B$5:$B$16,MATCH($A113,Calendario!$A$5:$A$16,0))</f>
        <v>46342</v>
      </c>
      <c r="R113" s="12">
        <f>INDEX(Calendario!$C$5:$C$16,MATCH($A113,Calendario!$A$5:$A$16,0))</f>
        <v>46355</v>
      </c>
      <c r="S113" s="6" t="str">
        <f t="shared" si="5"/>
        <v>16/11/YYYY - 17/11/YYYY</v>
      </c>
    </row>
    <row r="114" spans="1:19" x14ac:dyDescent="0.25">
      <c r="A114" s="6">
        <v>5</v>
      </c>
      <c r="B114" s="13" t="str">
        <f>Alumnos!B18</f>
        <v>Alumno 17</v>
      </c>
      <c r="C114" s="13"/>
      <c r="D114" s="13"/>
      <c r="E114" s="13"/>
      <c r="F114" s="13"/>
      <c r="G114" s="22"/>
      <c r="H114" s="27"/>
      <c r="I114" s="33"/>
      <c r="J114" s="33"/>
      <c r="K114" s="33"/>
      <c r="L114" s="33"/>
      <c r="M114" s="33"/>
      <c r="N114" s="6"/>
      <c r="O114" s="23" t="str">
        <f t="shared" si="3"/>
        <v>FALTA</v>
      </c>
      <c r="P114" s="6" t="str">
        <f t="shared" si="4"/>
        <v>OK</v>
      </c>
      <c r="Q114" s="12">
        <f>INDEX(Calendario!$B$5:$B$16,MATCH($A114,Calendario!$A$5:$A$16,0))</f>
        <v>46342</v>
      </c>
      <c r="R114" s="12">
        <f>INDEX(Calendario!$C$5:$C$16,MATCH($A114,Calendario!$A$5:$A$16,0))</f>
        <v>46355</v>
      </c>
      <c r="S114" s="6" t="str">
        <f t="shared" si="5"/>
        <v>16/11/YYYY - 17/11/YYYY</v>
      </c>
    </row>
    <row r="115" spans="1:19" x14ac:dyDescent="0.25">
      <c r="A115" s="6">
        <v>5</v>
      </c>
      <c r="B115" s="13" t="str">
        <f>Alumnos!B19</f>
        <v>Alumno 18</v>
      </c>
      <c r="C115" s="13"/>
      <c r="D115" s="13"/>
      <c r="E115" s="13"/>
      <c r="F115" s="13"/>
      <c r="G115" s="22"/>
      <c r="H115" s="27"/>
      <c r="I115" s="33"/>
      <c r="J115" s="33"/>
      <c r="K115" s="33"/>
      <c r="L115" s="33"/>
      <c r="M115" s="33"/>
      <c r="N115" s="6"/>
      <c r="O115" s="23" t="str">
        <f t="shared" si="3"/>
        <v>FALTA</v>
      </c>
      <c r="P115" s="6" t="str">
        <f t="shared" si="4"/>
        <v>OK</v>
      </c>
      <c r="Q115" s="12">
        <f>INDEX(Calendario!$B$5:$B$16,MATCH($A115,Calendario!$A$5:$A$16,0))</f>
        <v>46342</v>
      </c>
      <c r="R115" s="12">
        <f>INDEX(Calendario!$C$5:$C$16,MATCH($A115,Calendario!$A$5:$A$16,0))</f>
        <v>46355</v>
      </c>
      <c r="S115" s="6" t="str">
        <f t="shared" si="5"/>
        <v>16/11/YYYY - 17/11/YYYY</v>
      </c>
    </row>
    <row r="116" spans="1:19" x14ac:dyDescent="0.25">
      <c r="A116" s="6">
        <v>5</v>
      </c>
      <c r="B116" s="13" t="str">
        <f>Alumnos!B20</f>
        <v>Alumno 19</v>
      </c>
      <c r="C116" s="13"/>
      <c r="D116" s="13"/>
      <c r="E116" s="13"/>
      <c r="F116" s="13"/>
      <c r="G116" s="22"/>
      <c r="H116" s="27"/>
      <c r="I116" s="33"/>
      <c r="J116" s="33"/>
      <c r="K116" s="33"/>
      <c r="L116" s="33"/>
      <c r="M116" s="33"/>
      <c r="N116" s="6"/>
      <c r="O116" s="23" t="str">
        <f t="shared" si="3"/>
        <v>FALTA</v>
      </c>
      <c r="P116" s="6" t="str">
        <f t="shared" si="4"/>
        <v>OK</v>
      </c>
      <c r="Q116" s="12">
        <f>INDEX(Calendario!$B$5:$B$16,MATCH($A116,Calendario!$A$5:$A$16,0))</f>
        <v>46342</v>
      </c>
      <c r="R116" s="12">
        <f>INDEX(Calendario!$C$5:$C$16,MATCH($A116,Calendario!$A$5:$A$16,0))</f>
        <v>46355</v>
      </c>
      <c r="S116" s="6" t="str">
        <f t="shared" si="5"/>
        <v>16/11/YYYY - 17/11/YYYY</v>
      </c>
    </row>
    <row r="117" spans="1:19" x14ac:dyDescent="0.25">
      <c r="A117" s="6">
        <v>5</v>
      </c>
      <c r="B117" s="13" t="str">
        <f>Alumnos!B21</f>
        <v>Alumno 20</v>
      </c>
      <c r="C117" s="13"/>
      <c r="D117" s="13"/>
      <c r="E117" s="13"/>
      <c r="F117" s="13"/>
      <c r="G117" s="22"/>
      <c r="H117" s="27"/>
      <c r="I117" s="33"/>
      <c r="J117" s="33"/>
      <c r="K117" s="33"/>
      <c r="L117" s="33"/>
      <c r="M117" s="33"/>
      <c r="N117" s="6"/>
      <c r="O117" s="23" t="str">
        <f t="shared" si="3"/>
        <v>FALTA</v>
      </c>
      <c r="P117" s="6" t="str">
        <f t="shared" si="4"/>
        <v>OK</v>
      </c>
      <c r="Q117" s="12">
        <f>INDEX(Calendario!$B$5:$B$16,MATCH($A117,Calendario!$A$5:$A$16,0))</f>
        <v>46342</v>
      </c>
      <c r="R117" s="12">
        <f>INDEX(Calendario!$C$5:$C$16,MATCH($A117,Calendario!$A$5:$A$16,0))</f>
        <v>46355</v>
      </c>
      <c r="S117" s="6" t="str">
        <f t="shared" si="5"/>
        <v>16/11/YYYY - 17/11/YYYY</v>
      </c>
    </row>
    <row r="118" spans="1:19" x14ac:dyDescent="0.25">
      <c r="A118" s="6">
        <v>5</v>
      </c>
      <c r="B118" s="13" t="str">
        <f>Alumnos!B22</f>
        <v>Alumno 21</v>
      </c>
      <c r="C118" s="13"/>
      <c r="D118" s="13"/>
      <c r="E118" s="13"/>
      <c r="F118" s="13"/>
      <c r="G118" s="22"/>
      <c r="H118" s="27"/>
      <c r="I118" s="33"/>
      <c r="J118" s="33"/>
      <c r="K118" s="33"/>
      <c r="L118" s="33"/>
      <c r="M118" s="33"/>
      <c r="N118" s="6"/>
      <c r="O118" s="23" t="str">
        <f t="shared" si="3"/>
        <v>FALTA</v>
      </c>
      <c r="P118" s="6" t="str">
        <f t="shared" si="4"/>
        <v>OK</v>
      </c>
      <c r="Q118" s="12">
        <f>INDEX(Calendario!$B$5:$B$16,MATCH($A118,Calendario!$A$5:$A$16,0))</f>
        <v>46342</v>
      </c>
      <c r="R118" s="12">
        <f>INDEX(Calendario!$C$5:$C$16,MATCH($A118,Calendario!$A$5:$A$16,0))</f>
        <v>46355</v>
      </c>
      <c r="S118" s="6" t="str">
        <f t="shared" si="5"/>
        <v>16/11/YYYY - 17/11/YYYY</v>
      </c>
    </row>
    <row r="119" spans="1:19" x14ac:dyDescent="0.25">
      <c r="A119" s="6">
        <v>5</v>
      </c>
      <c r="B119" s="13" t="str">
        <f>Alumnos!B23</f>
        <v>Alumno 22</v>
      </c>
      <c r="C119" s="13"/>
      <c r="D119" s="13"/>
      <c r="E119" s="13"/>
      <c r="F119" s="13"/>
      <c r="G119" s="22"/>
      <c r="H119" s="27"/>
      <c r="I119" s="33"/>
      <c r="J119" s="33"/>
      <c r="K119" s="33"/>
      <c r="L119" s="33"/>
      <c r="M119" s="33"/>
      <c r="N119" s="6"/>
      <c r="O119" s="23" t="str">
        <f t="shared" si="3"/>
        <v>FALTA</v>
      </c>
      <c r="P119" s="6" t="str">
        <f t="shared" si="4"/>
        <v>OK</v>
      </c>
      <c r="Q119" s="12">
        <f>INDEX(Calendario!$B$5:$B$16,MATCH($A119,Calendario!$A$5:$A$16,0))</f>
        <v>46342</v>
      </c>
      <c r="R119" s="12">
        <f>INDEX(Calendario!$C$5:$C$16,MATCH($A119,Calendario!$A$5:$A$16,0))</f>
        <v>46355</v>
      </c>
      <c r="S119" s="6" t="str">
        <f t="shared" si="5"/>
        <v>16/11/YYYY - 17/11/YYYY</v>
      </c>
    </row>
    <row r="120" spans="1:19" x14ac:dyDescent="0.25">
      <c r="A120" s="6">
        <v>5</v>
      </c>
      <c r="B120" s="13" t="str">
        <f>Alumnos!B24</f>
        <v>Alumno 23</v>
      </c>
      <c r="C120" s="13"/>
      <c r="D120" s="13"/>
      <c r="E120" s="13"/>
      <c r="F120" s="13"/>
      <c r="G120" s="22"/>
      <c r="H120" s="27"/>
      <c r="I120" s="33"/>
      <c r="J120" s="33"/>
      <c r="K120" s="33"/>
      <c r="L120" s="33"/>
      <c r="M120" s="33"/>
      <c r="N120" s="6"/>
      <c r="O120" s="23" t="str">
        <f t="shared" si="3"/>
        <v>FALTA</v>
      </c>
      <c r="P120" s="6" t="str">
        <f t="shared" si="4"/>
        <v>OK</v>
      </c>
      <c r="Q120" s="12">
        <f>INDEX(Calendario!$B$5:$B$16,MATCH($A120,Calendario!$A$5:$A$16,0))</f>
        <v>46342</v>
      </c>
      <c r="R120" s="12">
        <f>INDEX(Calendario!$C$5:$C$16,MATCH($A120,Calendario!$A$5:$A$16,0))</f>
        <v>46355</v>
      </c>
      <c r="S120" s="6" t="str">
        <f t="shared" si="5"/>
        <v>16/11/YYYY - 17/11/YYYY</v>
      </c>
    </row>
    <row r="121" spans="1:19" x14ac:dyDescent="0.25">
      <c r="A121" s="6">
        <v>5</v>
      </c>
      <c r="B121" s="13" t="str">
        <f>Alumnos!B25</f>
        <v>Alumno 24</v>
      </c>
      <c r="C121" s="13"/>
      <c r="D121" s="13"/>
      <c r="E121" s="13"/>
      <c r="F121" s="13"/>
      <c r="G121" s="22"/>
      <c r="H121" s="27"/>
      <c r="I121" s="33"/>
      <c r="J121" s="33"/>
      <c r="K121" s="33"/>
      <c r="L121" s="33"/>
      <c r="M121" s="33"/>
      <c r="N121" s="6"/>
      <c r="O121" s="23" t="str">
        <f t="shared" si="3"/>
        <v>FALTA</v>
      </c>
      <c r="P121" s="6" t="str">
        <f t="shared" si="4"/>
        <v>OK</v>
      </c>
      <c r="Q121" s="12">
        <f>INDEX(Calendario!$B$5:$B$16,MATCH($A121,Calendario!$A$5:$A$16,0))</f>
        <v>46342</v>
      </c>
      <c r="R121" s="12">
        <f>INDEX(Calendario!$C$5:$C$16,MATCH($A121,Calendario!$A$5:$A$16,0))</f>
        <v>46355</v>
      </c>
      <c r="S121" s="6" t="str">
        <f t="shared" si="5"/>
        <v>16/11/YYYY - 17/11/YYYY</v>
      </c>
    </row>
    <row r="122" spans="1:19" x14ac:dyDescent="0.25">
      <c r="A122" s="20">
        <v>6</v>
      </c>
      <c r="B122" s="21" t="str">
        <f>Alumnos!B2</f>
        <v>Alumno 1</v>
      </c>
      <c r="C122" s="21"/>
      <c r="D122" s="21"/>
      <c r="E122" s="21"/>
      <c r="F122" s="21"/>
      <c r="G122" s="25"/>
      <c r="H122" s="28"/>
      <c r="I122" s="34"/>
      <c r="J122" s="34"/>
      <c r="K122" s="34"/>
      <c r="L122" s="34"/>
      <c r="M122" s="34"/>
      <c r="N122" s="20"/>
      <c r="O122" s="23" t="str">
        <f t="shared" si="3"/>
        <v>FALTA</v>
      </c>
      <c r="P122" s="6" t="str">
        <f t="shared" si="4"/>
        <v>OK</v>
      </c>
      <c r="Q122" s="12">
        <f>INDEX(Calendario!$B$5:$B$16,MATCH($A122,Calendario!$A$5:$A$16,0))</f>
        <v>46356</v>
      </c>
      <c r="R122" s="12">
        <f>INDEX(Calendario!$C$5:$C$16,MATCH($A122,Calendario!$A$5:$A$16,0))</f>
        <v>46369</v>
      </c>
      <c r="S122" s="6" t="str">
        <f t="shared" si="5"/>
        <v>30/11/YYYY - 01/12/YYYY</v>
      </c>
    </row>
    <row r="123" spans="1:19" x14ac:dyDescent="0.25">
      <c r="A123" s="6">
        <v>6</v>
      </c>
      <c r="B123" s="13" t="str">
        <f>Alumnos!B3</f>
        <v>Alumno 2</v>
      </c>
      <c r="C123" s="13"/>
      <c r="D123" s="13"/>
      <c r="E123" s="13"/>
      <c r="F123" s="13"/>
      <c r="G123" s="22"/>
      <c r="H123" s="27"/>
      <c r="I123" s="33"/>
      <c r="J123" s="33"/>
      <c r="K123" s="33"/>
      <c r="L123" s="33"/>
      <c r="M123" s="33"/>
      <c r="N123" s="6"/>
      <c r="O123" s="23" t="str">
        <f t="shared" si="3"/>
        <v>FALTA</v>
      </c>
      <c r="P123" s="6" t="str">
        <f t="shared" si="4"/>
        <v>OK</v>
      </c>
      <c r="Q123" s="12">
        <f>INDEX(Calendario!$B$5:$B$16,MATCH($A123,Calendario!$A$5:$A$16,0))</f>
        <v>46356</v>
      </c>
      <c r="R123" s="12">
        <f>INDEX(Calendario!$C$5:$C$16,MATCH($A123,Calendario!$A$5:$A$16,0))</f>
        <v>46369</v>
      </c>
      <c r="S123" s="6" t="str">
        <f t="shared" si="5"/>
        <v>30/11/YYYY - 01/12/YYYY</v>
      </c>
    </row>
    <row r="124" spans="1:19" x14ac:dyDescent="0.25">
      <c r="A124" s="6">
        <v>6</v>
      </c>
      <c r="B124" s="13" t="str">
        <f>Alumnos!B4</f>
        <v>Alumno 3</v>
      </c>
      <c r="C124" s="13"/>
      <c r="D124" s="13"/>
      <c r="E124" s="13"/>
      <c r="F124" s="13"/>
      <c r="G124" s="22"/>
      <c r="H124" s="27"/>
      <c r="I124" s="33"/>
      <c r="J124" s="33"/>
      <c r="K124" s="33"/>
      <c r="L124" s="33"/>
      <c r="M124" s="33"/>
      <c r="N124" s="6"/>
      <c r="O124" s="23" t="str">
        <f t="shared" si="3"/>
        <v>FALTA</v>
      </c>
      <c r="P124" s="6" t="str">
        <f t="shared" si="4"/>
        <v>OK</v>
      </c>
      <c r="Q124" s="12">
        <f>INDEX(Calendario!$B$5:$B$16,MATCH($A124,Calendario!$A$5:$A$16,0))</f>
        <v>46356</v>
      </c>
      <c r="R124" s="12">
        <f>INDEX(Calendario!$C$5:$C$16,MATCH($A124,Calendario!$A$5:$A$16,0))</f>
        <v>46369</v>
      </c>
      <c r="S124" s="6" t="str">
        <f t="shared" si="5"/>
        <v>30/11/YYYY - 01/12/YYYY</v>
      </c>
    </row>
    <row r="125" spans="1:19" x14ac:dyDescent="0.25">
      <c r="A125" s="6">
        <v>6</v>
      </c>
      <c r="B125" s="13" t="str">
        <f>Alumnos!B5</f>
        <v>Alumno 4</v>
      </c>
      <c r="C125" s="13"/>
      <c r="D125" s="13"/>
      <c r="E125" s="13"/>
      <c r="F125" s="13"/>
      <c r="G125" s="22"/>
      <c r="H125" s="27"/>
      <c r="I125" s="33"/>
      <c r="J125" s="33"/>
      <c r="K125" s="33"/>
      <c r="L125" s="33"/>
      <c r="M125" s="33"/>
      <c r="N125" s="6"/>
      <c r="O125" s="23" t="str">
        <f t="shared" si="3"/>
        <v>FALTA</v>
      </c>
      <c r="P125" s="6" t="str">
        <f t="shared" si="4"/>
        <v>OK</v>
      </c>
      <c r="Q125" s="12">
        <f>INDEX(Calendario!$B$5:$B$16,MATCH($A125,Calendario!$A$5:$A$16,0))</f>
        <v>46356</v>
      </c>
      <c r="R125" s="12">
        <f>INDEX(Calendario!$C$5:$C$16,MATCH($A125,Calendario!$A$5:$A$16,0))</f>
        <v>46369</v>
      </c>
      <c r="S125" s="6" t="str">
        <f t="shared" si="5"/>
        <v>30/11/YYYY - 01/12/YYYY</v>
      </c>
    </row>
    <row r="126" spans="1:19" x14ac:dyDescent="0.25">
      <c r="A126" s="6">
        <v>6</v>
      </c>
      <c r="B126" s="13" t="str">
        <f>Alumnos!B6</f>
        <v>Alumno 5</v>
      </c>
      <c r="C126" s="13"/>
      <c r="D126" s="13"/>
      <c r="E126" s="13"/>
      <c r="F126" s="13"/>
      <c r="G126" s="22"/>
      <c r="H126" s="27"/>
      <c r="I126" s="33"/>
      <c r="J126" s="33"/>
      <c r="K126" s="33"/>
      <c r="L126" s="33"/>
      <c r="M126" s="33"/>
      <c r="N126" s="6"/>
      <c r="O126" s="23" t="str">
        <f t="shared" si="3"/>
        <v>FALTA</v>
      </c>
      <c r="P126" s="6" t="str">
        <f t="shared" si="4"/>
        <v>OK</v>
      </c>
      <c r="Q126" s="12">
        <f>INDEX(Calendario!$B$5:$B$16,MATCH($A126,Calendario!$A$5:$A$16,0))</f>
        <v>46356</v>
      </c>
      <c r="R126" s="12">
        <f>INDEX(Calendario!$C$5:$C$16,MATCH($A126,Calendario!$A$5:$A$16,0))</f>
        <v>46369</v>
      </c>
      <c r="S126" s="6" t="str">
        <f t="shared" si="5"/>
        <v>30/11/YYYY - 01/12/YYYY</v>
      </c>
    </row>
    <row r="127" spans="1:19" x14ac:dyDescent="0.25">
      <c r="A127" s="6">
        <v>6</v>
      </c>
      <c r="B127" s="13" t="str">
        <f>Alumnos!B7</f>
        <v>Alumno 6</v>
      </c>
      <c r="C127" s="13"/>
      <c r="D127" s="13"/>
      <c r="E127" s="13"/>
      <c r="F127" s="13"/>
      <c r="G127" s="22"/>
      <c r="H127" s="27"/>
      <c r="I127" s="33"/>
      <c r="J127" s="33"/>
      <c r="K127" s="33"/>
      <c r="L127" s="33"/>
      <c r="M127" s="33"/>
      <c r="N127" s="6"/>
      <c r="O127" s="23" t="str">
        <f t="shared" si="3"/>
        <v>FALTA</v>
      </c>
      <c r="P127" s="6" t="str">
        <f t="shared" si="4"/>
        <v>OK</v>
      </c>
      <c r="Q127" s="12">
        <f>INDEX(Calendario!$B$5:$B$16,MATCH($A127,Calendario!$A$5:$A$16,0))</f>
        <v>46356</v>
      </c>
      <c r="R127" s="12">
        <f>INDEX(Calendario!$C$5:$C$16,MATCH($A127,Calendario!$A$5:$A$16,0))</f>
        <v>46369</v>
      </c>
      <c r="S127" s="6" t="str">
        <f t="shared" si="5"/>
        <v>30/11/YYYY - 01/12/YYYY</v>
      </c>
    </row>
    <row r="128" spans="1:19" x14ac:dyDescent="0.25">
      <c r="A128" s="6">
        <v>6</v>
      </c>
      <c r="B128" s="13" t="str">
        <f>Alumnos!B8</f>
        <v>Alumno 7</v>
      </c>
      <c r="C128" s="13"/>
      <c r="D128" s="13"/>
      <c r="E128" s="13"/>
      <c r="F128" s="13"/>
      <c r="G128" s="22"/>
      <c r="H128" s="27"/>
      <c r="I128" s="33"/>
      <c r="J128" s="33"/>
      <c r="K128" s="33"/>
      <c r="L128" s="33"/>
      <c r="M128" s="33"/>
      <c r="N128" s="6"/>
      <c r="O128" s="23" t="str">
        <f t="shared" si="3"/>
        <v>FALTA</v>
      </c>
      <c r="P128" s="6" t="str">
        <f t="shared" si="4"/>
        <v>OK</v>
      </c>
      <c r="Q128" s="12">
        <f>INDEX(Calendario!$B$5:$B$16,MATCH($A128,Calendario!$A$5:$A$16,0))</f>
        <v>46356</v>
      </c>
      <c r="R128" s="12">
        <f>INDEX(Calendario!$C$5:$C$16,MATCH($A128,Calendario!$A$5:$A$16,0))</f>
        <v>46369</v>
      </c>
      <c r="S128" s="6" t="str">
        <f t="shared" si="5"/>
        <v>30/11/YYYY - 01/12/YYYY</v>
      </c>
    </row>
    <row r="129" spans="1:19" x14ac:dyDescent="0.25">
      <c r="A129" s="6">
        <v>6</v>
      </c>
      <c r="B129" s="13" t="str">
        <f>Alumnos!B9</f>
        <v>Alumno 8</v>
      </c>
      <c r="C129" s="13"/>
      <c r="D129" s="13"/>
      <c r="E129" s="13"/>
      <c r="F129" s="13"/>
      <c r="G129" s="22"/>
      <c r="H129" s="27"/>
      <c r="I129" s="33"/>
      <c r="J129" s="33"/>
      <c r="K129" s="33"/>
      <c r="L129" s="33"/>
      <c r="M129" s="33"/>
      <c r="N129" s="6"/>
      <c r="O129" s="23" t="str">
        <f t="shared" si="3"/>
        <v>FALTA</v>
      </c>
      <c r="P129" s="6" t="str">
        <f t="shared" si="4"/>
        <v>OK</v>
      </c>
      <c r="Q129" s="12">
        <f>INDEX(Calendario!$B$5:$B$16,MATCH($A129,Calendario!$A$5:$A$16,0))</f>
        <v>46356</v>
      </c>
      <c r="R129" s="12">
        <f>INDEX(Calendario!$C$5:$C$16,MATCH($A129,Calendario!$A$5:$A$16,0))</f>
        <v>46369</v>
      </c>
      <c r="S129" s="6" t="str">
        <f t="shared" si="5"/>
        <v>30/11/YYYY - 01/12/YYYY</v>
      </c>
    </row>
    <row r="130" spans="1:19" x14ac:dyDescent="0.25">
      <c r="A130" s="6">
        <v>6</v>
      </c>
      <c r="B130" s="13" t="str">
        <f>Alumnos!B10</f>
        <v>Alumno 9</v>
      </c>
      <c r="C130" s="13"/>
      <c r="D130" s="13"/>
      <c r="E130" s="13"/>
      <c r="F130" s="13"/>
      <c r="G130" s="22"/>
      <c r="H130" s="27"/>
      <c r="I130" s="33"/>
      <c r="J130" s="33"/>
      <c r="K130" s="33"/>
      <c r="L130" s="33"/>
      <c r="M130" s="33"/>
      <c r="N130" s="6"/>
      <c r="O130" s="23" t="str">
        <f t="shared" ref="O130:O193" si="6">IF(OR($B130=$C130,$B130=$D130,$B130=$E130,$B130=$F130,$B130=$G130),"OK","FALTA")</f>
        <v>FALTA</v>
      </c>
      <c r="P130" s="6" t="str">
        <f t="shared" ref="P130:P193" si="7">IF(OR($H130=$C130,$H130=$D130,$H130=$E130,$H130=$F130,$H130=$G130),"OK","ERROR")</f>
        <v>OK</v>
      </c>
      <c r="Q130" s="12">
        <f>INDEX(Calendario!$B$5:$B$16,MATCH($A130,Calendario!$A$5:$A$16,0))</f>
        <v>46356</v>
      </c>
      <c r="R130" s="12">
        <f>INDEX(Calendario!$C$5:$C$16,MATCH($A130,Calendario!$A$5:$A$16,0))</f>
        <v>46369</v>
      </c>
      <c r="S130" s="6" t="str">
        <f t="shared" ref="S130:S193" si="8">TEXT(Q130,"DD/MM/YYYY")&amp;" - "&amp;TEXT(Q130+1,"DD/MM/YYYY")</f>
        <v>30/11/YYYY - 01/12/YYYY</v>
      </c>
    </row>
    <row r="131" spans="1:19" x14ac:dyDescent="0.25">
      <c r="A131" s="6">
        <v>6</v>
      </c>
      <c r="B131" s="13" t="str">
        <f>Alumnos!B11</f>
        <v>Alumno 10</v>
      </c>
      <c r="C131" s="13"/>
      <c r="D131" s="13"/>
      <c r="E131" s="13"/>
      <c r="F131" s="13"/>
      <c r="G131" s="22"/>
      <c r="H131" s="27"/>
      <c r="I131" s="33"/>
      <c r="J131" s="33"/>
      <c r="K131" s="33"/>
      <c r="L131" s="33"/>
      <c r="M131" s="33"/>
      <c r="N131" s="6"/>
      <c r="O131" s="23" t="str">
        <f t="shared" si="6"/>
        <v>FALTA</v>
      </c>
      <c r="P131" s="6" t="str">
        <f t="shared" si="7"/>
        <v>OK</v>
      </c>
      <c r="Q131" s="12">
        <f>INDEX(Calendario!$B$5:$B$16,MATCH($A131,Calendario!$A$5:$A$16,0))</f>
        <v>46356</v>
      </c>
      <c r="R131" s="12">
        <f>INDEX(Calendario!$C$5:$C$16,MATCH($A131,Calendario!$A$5:$A$16,0))</f>
        <v>46369</v>
      </c>
      <c r="S131" s="6" t="str">
        <f t="shared" si="8"/>
        <v>30/11/YYYY - 01/12/YYYY</v>
      </c>
    </row>
    <row r="132" spans="1:19" x14ac:dyDescent="0.25">
      <c r="A132" s="6">
        <v>6</v>
      </c>
      <c r="B132" s="13" t="str">
        <f>Alumnos!B12</f>
        <v>Alumno 11</v>
      </c>
      <c r="C132" s="13"/>
      <c r="D132" s="13"/>
      <c r="E132" s="13"/>
      <c r="F132" s="13"/>
      <c r="G132" s="22"/>
      <c r="H132" s="27"/>
      <c r="I132" s="33"/>
      <c r="J132" s="33"/>
      <c r="K132" s="33"/>
      <c r="L132" s="33"/>
      <c r="M132" s="33"/>
      <c r="N132" s="6"/>
      <c r="O132" s="23" t="str">
        <f t="shared" si="6"/>
        <v>FALTA</v>
      </c>
      <c r="P132" s="6" t="str">
        <f t="shared" si="7"/>
        <v>OK</v>
      </c>
      <c r="Q132" s="12">
        <f>INDEX(Calendario!$B$5:$B$16,MATCH($A132,Calendario!$A$5:$A$16,0))</f>
        <v>46356</v>
      </c>
      <c r="R132" s="12">
        <f>INDEX(Calendario!$C$5:$C$16,MATCH($A132,Calendario!$A$5:$A$16,0))</f>
        <v>46369</v>
      </c>
      <c r="S132" s="6" t="str">
        <f t="shared" si="8"/>
        <v>30/11/YYYY - 01/12/YYYY</v>
      </c>
    </row>
    <row r="133" spans="1:19" x14ac:dyDescent="0.25">
      <c r="A133" s="6">
        <v>6</v>
      </c>
      <c r="B133" s="13" t="str">
        <f>Alumnos!B13</f>
        <v>Alumno 12</v>
      </c>
      <c r="C133" s="13"/>
      <c r="D133" s="13"/>
      <c r="E133" s="13"/>
      <c r="F133" s="13"/>
      <c r="G133" s="22"/>
      <c r="H133" s="27"/>
      <c r="I133" s="33"/>
      <c r="J133" s="33"/>
      <c r="K133" s="33"/>
      <c r="L133" s="33"/>
      <c r="M133" s="33"/>
      <c r="N133" s="6"/>
      <c r="O133" s="23" t="str">
        <f t="shared" si="6"/>
        <v>FALTA</v>
      </c>
      <c r="P133" s="6" t="str">
        <f t="shared" si="7"/>
        <v>OK</v>
      </c>
      <c r="Q133" s="12">
        <f>INDEX(Calendario!$B$5:$B$16,MATCH($A133,Calendario!$A$5:$A$16,0))</f>
        <v>46356</v>
      </c>
      <c r="R133" s="12">
        <f>INDEX(Calendario!$C$5:$C$16,MATCH($A133,Calendario!$A$5:$A$16,0))</f>
        <v>46369</v>
      </c>
      <c r="S133" s="6" t="str">
        <f t="shared" si="8"/>
        <v>30/11/YYYY - 01/12/YYYY</v>
      </c>
    </row>
    <row r="134" spans="1:19" x14ac:dyDescent="0.25">
      <c r="A134" s="6">
        <v>6</v>
      </c>
      <c r="B134" s="13" t="str">
        <f>Alumnos!B14</f>
        <v>Alumno 13</v>
      </c>
      <c r="C134" s="13"/>
      <c r="D134" s="13"/>
      <c r="E134" s="13"/>
      <c r="F134" s="13"/>
      <c r="G134" s="22"/>
      <c r="H134" s="27"/>
      <c r="I134" s="33"/>
      <c r="J134" s="33"/>
      <c r="K134" s="33"/>
      <c r="L134" s="33"/>
      <c r="M134" s="33"/>
      <c r="N134" s="6"/>
      <c r="O134" s="23" t="str">
        <f t="shared" si="6"/>
        <v>FALTA</v>
      </c>
      <c r="P134" s="6" t="str">
        <f t="shared" si="7"/>
        <v>OK</v>
      </c>
      <c r="Q134" s="12">
        <f>INDEX(Calendario!$B$5:$B$16,MATCH($A134,Calendario!$A$5:$A$16,0))</f>
        <v>46356</v>
      </c>
      <c r="R134" s="12">
        <f>INDEX(Calendario!$C$5:$C$16,MATCH($A134,Calendario!$A$5:$A$16,0))</f>
        <v>46369</v>
      </c>
      <c r="S134" s="6" t="str">
        <f t="shared" si="8"/>
        <v>30/11/YYYY - 01/12/YYYY</v>
      </c>
    </row>
    <row r="135" spans="1:19" x14ac:dyDescent="0.25">
      <c r="A135" s="6">
        <v>6</v>
      </c>
      <c r="B135" s="13" t="str">
        <f>Alumnos!B15</f>
        <v>Alumno 14</v>
      </c>
      <c r="C135" s="13"/>
      <c r="D135" s="13"/>
      <c r="E135" s="13"/>
      <c r="F135" s="13"/>
      <c r="G135" s="22"/>
      <c r="H135" s="27"/>
      <c r="I135" s="33"/>
      <c r="J135" s="33"/>
      <c r="K135" s="33"/>
      <c r="L135" s="33"/>
      <c r="M135" s="33"/>
      <c r="N135" s="6"/>
      <c r="O135" s="23" t="str">
        <f t="shared" si="6"/>
        <v>FALTA</v>
      </c>
      <c r="P135" s="6" t="str">
        <f t="shared" si="7"/>
        <v>OK</v>
      </c>
      <c r="Q135" s="12">
        <f>INDEX(Calendario!$B$5:$B$16,MATCH($A135,Calendario!$A$5:$A$16,0))</f>
        <v>46356</v>
      </c>
      <c r="R135" s="12">
        <f>INDEX(Calendario!$C$5:$C$16,MATCH($A135,Calendario!$A$5:$A$16,0))</f>
        <v>46369</v>
      </c>
      <c r="S135" s="6" t="str">
        <f t="shared" si="8"/>
        <v>30/11/YYYY - 01/12/YYYY</v>
      </c>
    </row>
    <row r="136" spans="1:19" x14ac:dyDescent="0.25">
      <c r="A136" s="6">
        <v>6</v>
      </c>
      <c r="B136" s="13" t="str">
        <f>Alumnos!B16</f>
        <v>Alumno 15</v>
      </c>
      <c r="C136" s="13"/>
      <c r="D136" s="13"/>
      <c r="E136" s="13"/>
      <c r="F136" s="13"/>
      <c r="G136" s="22"/>
      <c r="H136" s="27"/>
      <c r="I136" s="33"/>
      <c r="J136" s="33"/>
      <c r="K136" s="33"/>
      <c r="L136" s="33"/>
      <c r="M136" s="33"/>
      <c r="N136" s="6"/>
      <c r="O136" s="23" t="str">
        <f t="shared" si="6"/>
        <v>FALTA</v>
      </c>
      <c r="P136" s="6" t="str">
        <f t="shared" si="7"/>
        <v>OK</v>
      </c>
      <c r="Q136" s="12">
        <f>INDEX(Calendario!$B$5:$B$16,MATCH($A136,Calendario!$A$5:$A$16,0))</f>
        <v>46356</v>
      </c>
      <c r="R136" s="12">
        <f>INDEX(Calendario!$C$5:$C$16,MATCH($A136,Calendario!$A$5:$A$16,0))</f>
        <v>46369</v>
      </c>
      <c r="S136" s="6" t="str">
        <f t="shared" si="8"/>
        <v>30/11/YYYY - 01/12/YYYY</v>
      </c>
    </row>
    <row r="137" spans="1:19" x14ac:dyDescent="0.25">
      <c r="A137" s="6">
        <v>6</v>
      </c>
      <c r="B137" s="13" t="str">
        <f>Alumnos!B17</f>
        <v>Alumno 16</v>
      </c>
      <c r="C137" s="13"/>
      <c r="D137" s="13"/>
      <c r="E137" s="13"/>
      <c r="F137" s="13"/>
      <c r="G137" s="22"/>
      <c r="H137" s="27"/>
      <c r="I137" s="33"/>
      <c r="J137" s="33"/>
      <c r="K137" s="33"/>
      <c r="L137" s="33"/>
      <c r="M137" s="33"/>
      <c r="N137" s="6"/>
      <c r="O137" s="23" t="str">
        <f t="shared" si="6"/>
        <v>FALTA</v>
      </c>
      <c r="P137" s="6" t="str">
        <f t="shared" si="7"/>
        <v>OK</v>
      </c>
      <c r="Q137" s="12">
        <f>INDEX(Calendario!$B$5:$B$16,MATCH($A137,Calendario!$A$5:$A$16,0))</f>
        <v>46356</v>
      </c>
      <c r="R137" s="12">
        <f>INDEX(Calendario!$C$5:$C$16,MATCH($A137,Calendario!$A$5:$A$16,0))</f>
        <v>46369</v>
      </c>
      <c r="S137" s="6" t="str">
        <f t="shared" si="8"/>
        <v>30/11/YYYY - 01/12/YYYY</v>
      </c>
    </row>
    <row r="138" spans="1:19" x14ac:dyDescent="0.25">
      <c r="A138" s="6">
        <v>6</v>
      </c>
      <c r="B138" s="13" t="str">
        <f>Alumnos!B18</f>
        <v>Alumno 17</v>
      </c>
      <c r="C138" s="13"/>
      <c r="D138" s="13"/>
      <c r="E138" s="13"/>
      <c r="F138" s="13"/>
      <c r="G138" s="22"/>
      <c r="H138" s="27"/>
      <c r="I138" s="33"/>
      <c r="J138" s="33"/>
      <c r="K138" s="33"/>
      <c r="L138" s="33"/>
      <c r="M138" s="33"/>
      <c r="N138" s="6"/>
      <c r="O138" s="23" t="str">
        <f t="shared" si="6"/>
        <v>FALTA</v>
      </c>
      <c r="P138" s="6" t="str">
        <f t="shared" si="7"/>
        <v>OK</v>
      </c>
      <c r="Q138" s="12">
        <f>INDEX(Calendario!$B$5:$B$16,MATCH($A138,Calendario!$A$5:$A$16,0))</f>
        <v>46356</v>
      </c>
      <c r="R138" s="12">
        <f>INDEX(Calendario!$C$5:$C$16,MATCH($A138,Calendario!$A$5:$A$16,0))</f>
        <v>46369</v>
      </c>
      <c r="S138" s="6" t="str">
        <f t="shared" si="8"/>
        <v>30/11/YYYY - 01/12/YYYY</v>
      </c>
    </row>
    <row r="139" spans="1:19" x14ac:dyDescent="0.25">
      <c r="A139" s="6">
        <v>6</v>
      </c>
      <c r="B139" s="13" t="str">
        <f>Alumnos!B19</f>
        <v>Alumno 18</v>
      </c>
      <c r="C139" s="13"/>
      <c r="D139" s="13"/>
      <c r="E139" s="13"/>
      <c r="F139" s="13"/>
      <c r="G139" s="22"/>
      <c r="H139" s="27"/>
      <c r="I139" s="33"/>
      <c r="J139" s="33"/>
      <c r="K139" s="33"/>
      <c r="L139" s="33"/>
      <c r="M139" s="33"/>
      <c r="N139" s="6"/>
      <c r="O139" s="23" t="str">
        <f t="shared" si="6"/>
        <v>FALTA</v>
      </c>
      <c r="P139" s="6" t="str">
        <f t="shared" si="7"/>
        <v>OK</v>
      </c>
      <c r="Q139" s="12">
        <f>INDEX(Calendario!$B$5:$B$16,MATCH($A139,Calendario!$A$5:$A$16,0))</f>
        <v>46356</v>
      </c>
      <c r="R139" s="12">
        <f>INDEX(Calendario!$C$5:$C$16,MATCH($A139,Calendario!$A$5:$A$16,0))</f>
        <v>46369</v>
      </c>
      <c r="S139" s="6" t="str">
        <f t="shared" si="8"/>
        <v>30/11/YYYY - 01/12/YYYY</v>
      </c>
    </row>
    <row r="140" spans="1:19" x14ac:dyDescent="0.25">
      <c r="A140" s="6">
        <v>6</v>
      </c>
      <c r="B140" s="13" t="str">
        <f>Alumnos!B20</f>
        <v>Alumno 19</v>
      </c>
      <c r="C140" s="13"/>
      <c r="D140" s="13"/>
      <c r="E140" s="13"/>
      <c r="F140" s="13"/>
      <c r="G140" s="22"/>
      <c r="H140" s="27"/>
      <c r="I140" s="33"/>
      <c r="J140" s="33"/>
      <c r="K140" s="33"/>
      <c r="L140" s="33"/>
      <c r="M140" s="33"/>
      <c r="N140" s="6"/>
      <c r="O140" s="23" t="str">
        <f t="shared" si="6"/>
        <v>FALTA</v>
      </c>
      <c r="P140" s="6" t="str">
        <f t="shared" si="7"/>
        <v>OK</v>
      </c>
      <c r="Q140" s="12">
        <f>INDEX(Calendario!$B$5:$B$16,MATCH($A140,Calendario!$A$5:$A$16,0))</f>
        <v>46356</v>
      </c>
      <c r="R140" s="12">
        <f>INDEX(Calendario!$C$5:$C$16,MATCH($A140,Calendario!$A$5:$A$16,0))</f>
        <v>46369</v>
      </c>
      <c r="S140" s="6" t="str">
        <f t="shared" si="8"/>
        <v>30/11/YYYY - 01/12/YYYY</v>
      </c>
    </row>
    <row r="141" spans="1:19" x14ac:dyDescent="0.25">
      <c r="A141" s="6">
        <v>6</v>
      </c>
      <c r="B141" s="13" t="str">
        <f>Alumnos!B21</f>
        <v>Alumno 20</v>
      </c>
      <c r="C141" s="13"/>
      <c r="D141" s="13"/>
      <c r="E141" s="13"/>
      <c r="F141" s="13"/>
      <c r="G141" s="22"/>
      <c r="H141" s="27"/>
      <c r="I141" s="33"/>
      <c r="J141" s="33"/>
      <c r="K141" s="33"/>
      <c r="L141" s="33"/>
      <c r="M141" s="33"/>
      <c r="N141" s="6"/>
      <c r="O141" s="23" t="str">
        <f t="shared" si="6"/>
        <v>FALTA</v>
      </c>
      <c r="P141" s="6" t="str">
        <f t="shared" si="7"/>
        <v>OK</v>
      </c>
      <c r="Q141" s="12">
        <f>INDEX(Calendario!$B$5:$B$16,MATCH($A141,Calendario!$A$5:$A$16,0))</f>
        <v>46356</v>
      </c>
      <c r="R141" s="12">
        <f>INDEX(Calendario!$C$5:$C$16,MATCH($A141,Calendario!$A$5:$A$16,0))</f>
        <v>46369</v>
      </c>
      <c r="S141" s="6" t="str">
        <f t="shared" si="8"/>
        <v>30/11/YYYY - 01/12/YYYY</v>
      </c>
    </row>
    <row r="142" spans="1:19" x14ac:dyDescent="0.25">
      <c r="A142" s="6">
        <v>6</v>
      </c>
      <c r="B142" s="13" t="str">
        <f>Alumnos!B22</f>
        <v>Alumno 21</v>
      </c>
      <c r="C142" s="13"/>
      <c r="D142" s="13"/>
      <c r="E142" s="13"/>
      <c r="F142" s="13"/>
      <c r="G142" s="22"/>
      <c r="H142" s="27"/>
      <c r="I142" s="33"/>
      <c r="J142" s="33"/>
      <c r="K142" s="33"/>
      <c r="L142" s="33"/>
      <c r="M142" s="33"/>
      <c r="N142" s="6"/>
      <c r="O142" s="23" t="str">
        <f t="shared" si="6"/>
        <v>FALTA</v>
      </c>
      <c r="P142" s="6" t="str">
        <f t="shared" si="7"/>
        <v>OK</v>
      </c>
      <c r="Q142" s="12">
        <f>INDEX(Calendario!$B$5:$B$16,MATCH($A142,Calendario!$A$5:$A$16,0))</f>
        <v>46356</v>
      </c>
      <c r="R142" s="12">
        <f>INDEX(Calendario!$C$5:$C$16,MATCH($A142,Calendario!$A$5:$A$16,0))</f>
        <v>46369</v>
      </c>
      <c r="S142" s="6" t="str">
        <f t="shared" si="8"/>
        <v>30/11/YYYY - 01/12/YYYY</v>
      </c>
    </row>
    <row r="143" spans="1:19" x14ac:dyDescent="0.25">
      <c r="A143" s="6">
        <v>6</v>
      </c>
      <c r="B143" s="13" t="str">
        <f>Alumnos!B23</f>
        <v>Alumno 22</v>
      </c>
      <c r="C143" s="13"/>
      <c r="D143" s="13"/>
      <c r="E143" s="13"/>
      <c r="F143" s="13"/>
      <c r="G143" s="22"/>
      <c r="H143" s="27"/>
      <c r="I143" s="33"/>
      <c r="J143" s="33"/>
      <c r="K143" s="33"/>
      <c r="L143" s="33"/>
      <c r="M143" s="33"/>
      <c r="N143" s="6"/>
      <c r="O143" s="23" t="str">
        <f t="shared" si="6"/>
        <v>FALTA</v>
      </c>
      <c r="P143" s="6" t="str">
        <f t="shared" si="7"/>
        <v>OK</v>
      </c>
      <c r="Q143" s="12">
        <f>INDEX(Calendario!$B$5:$B$16,MATCH($A143,Calendario!$A$5:$A$16,0))</f>
        <v>46356</v>
      </c>
      <c r="R143" s="12">
        <f>INDEX(Calendario!$C$5:$C$16,MATCH($A143,Calendario!$A$5:$A$16,0))</f>
        <v>46369</v>
      </c>
      <c r="S143" s="6" t="str">
        <f t="shared" si="8"/>
        <v>30/11/YYYY - 01/12/YYYY</v>
      </c>
    </row>
    <row r="144" spans="1:19" x14ac:dyDescent="0.25">
      <c r="A144" s="6">
        <v>6</v>
      </c>
      <c r="B144" s="13" t="str">
        <f>Alumnos!B24</f>
        <v>Alumno 23</v>
      </c>
      <c r="C144" s="13"/>
      <c r="D144" s="13"/>
      <c r="E144" s="13"/>
      <c r="F144" s="13"/>
      <c r="G144" s="22"/>
      <c r="H144" s="27"/>
      <c r="I144" s="33"/>
      <c r="J144" s="33"/>
      <c r="K144" s="33"/>
      <c r="L144" s="33"/>
      <c r="M144" s="33"/>
      <c r="N144" s="6"/>
      <c r="O144" s="23" t="str">
        <f t="shared" si="6"/>
        <v>FALTA</v>
      </c>
      <c r="P144" s="6" t="str">
        <f t="shared" si="7"/>
        <v>OK</v>
      </c>
      <c r="Q144" s="12">
        <f>INDEX(Calendario!$B$5:$B$16,MATCH($A144,Calendario!$A$5:$A$16,0))</f>
        <v>46356</v>
      </c>
      <c r="R144" s="12">
        <f>INDEX(Calendario!$C$5:$C$16,MATCH($A144,Calendario!$A$5:$A$16,0))</f>
        <v>46369</v>
      </c>
      <c r="S144" s="6" t="str">
        <f t="shared" si="8"/>
        <v>30/11/YYYY - 01/12/YYYY</v>
      </c>
    </row>
    <row r="145" spans="1:19" x14ac:dyDescent="0.25">
      <c r="A145" s="6">
        <v>6</v>
      </c>
      <c r="B145" s="13" t="str">
        <f>Alumnos!B25</f>
        <v>Alumno 24</v>
      </c>
      <c r="C145" s="13"/>
      <c r="D145" s="13"/>
      <c r="E145" s="13"/>
      <c r="F145" s="13"/>
      <c r="G145" s="22"/>
      <c r="H145" s="27"/>
      <c r="I145" s="33"/>
      <c r="J145" s="33"/>
      <c r="K145" s="33"/>
      <c r="L145" s="33"/>
      <c r="M145" s="33"/>
      <c r="N145" s="6"/>
      <c r="O145" s="23" t="str">
        <f t="shared" si="6"/>
        <v>FALTA</v>
      </c>
      <c r="P145" s="6" t="str">
        <f t="shared" si="7"/>
        <v>OK</v>
      </c>
      <c r="Q145" s="12">
        <f>INDEX(Calendario!$B$5:$B$16,MATCH($A145,Calendario!$A$5:$A$16,0))</f>
        <v>46356</v>
      </c>
      <c r="R145" s="12">
        <f>INDEX(Calendario!$C$5:$C$16,MATCH($A145,Calendario!$A$5:$A$16,0))</f>
        <v>46369</v>
      </c>
      <c r="S145" s="6" t="str">
        <f t="shared" si="8"/>
        <v>30/11/YYYY - 01/12/YYYY</v>
      </c>
    </row>
    <row r="146" spans="1:19" x14ac:dyDescent="0.25">
      <c r="A146" s="20">
        <v>7</v>
      </c>
      <c r="B146" s="21" t="str">
        <f>Alumnos!B2</f>
        <v>Alumno 1</v>
      </c>
      <c r="C146" s="21"/>
      <c r="D146" s="21"/>
      <c r="E146" s="21"/>
      <c r="F146" s="21"/>
      <c r="G146" s="25"/>
      <c r="H146" s="28"/>
      <c r="I146" s="34"/>
      <c r="J146" s="34"/>
      <c r="K146" s="34"/>
      <c r="L146" s="34"/>
      <c r="M146" s="34"/>
      <c r="N146" s="20"/>
      <c r="O146" s="23" t="str">
        <f t="shared" si="6"/>
        <v>FALTA</v>
      </c>
      <c r="P146" s="6" t="str">
        <f t="shared" si="7"/>
        <v>OK</v>
      </c>
      <c r="Q146" s="12">
        <f>INDEX(Calendario!$B$5:$B$16,MATCH($A146,Calendario!$A$5:$A$16,0))</f>
        <v>46370</v>
      </c>
      <c r="R146" s="12">
        <f>INDEX(Calendario!$C$5:$C$16,MATCH($A146,Calendario!$A$5:$A$16,0))</f>
        <v>46383</v>
      </c>
      <c r="S146" s="6" t="str">
        <f t="shared" si="8"/>
        <v>14/12/YYYY - 15/12/YYYY</v>
      </c>
    </row>
    <row r="147" spans="1:19" x14ac:dyDescent="0.25">
      <c r="A147" s="6">
        <v>7</v>
      </c>
      <c r="B147" s="13" t="str">
        <f>Alumnos!B3</f>
        <v>Alumno 2</v>
      </c>
      <c r="C147" s="13"/>
      <c r="D147" s="13"/>
      <c r="E147" s="13"/>
      <c r="F147" s="13"/>
      <c r="G147" s="22"/>
      <c r="H147" s="27"/>
      <c r="I147" s="33"/>
      <c r="J147" s="33"/>
      <c r="K147" s="33"/>
      <c r="L147" s="33"/>
      <c r="M147" s="33"/>
      <c r="N147" s="6"/>
      <c r="O147" s="23" t="str">
        <f t="shared" si="6"/>
        <v>FALTA</v>
      </c>
      <c r="P147" s="6" t="str">
        <f t="shared" si="7"/>
        <v>OK</v>
      </c>
      <c r="Q147" s="12">
        <f>INDEX(Calendario!$B$5:$B$16,MATCH($A147,Calendario!$A$5:$A$16,0))</f>
        <v>46370</v>
      </c>
      <c r="R147" s="12">
        <f>INDEX(Calendario!$C$5:$C$16,MATCH($A147,Calendario!$A$5:$A$16,0))</f>
        <v>46383</v>
      </c>
      <c r="S147" s="6" t="str">
        <f t="shared" si="8"/>
        <v>14/12/YYYY - 15/12/YYYY</v>
      </c>
    </row>
    <row r="148" spans="1:19" x14ac:dyDescent="0.25">
      <c r="A148" s="6">
        <v>7</v>
      </c>
      <c r="B148" s="13" t="str">
        <f>Alumnos!B4</f>
        <v>Alumno 3</v>
      </c>
      <c r="C148" s="13"/>
      <c r="D148" s="13"/>
      <c r="E148" s="13"/>
      <c r="F148" s="13"/>
      <c r="G148" s="22"/>
      <c r="H148" s="27"/>
      <c r="I148" s="33"/>
      <c r="J148" s="33"/>
      <c r="K148" s="33"/>
      <c r="L148" s="33"/>
      <c r="M148" s="33"/>
      <c r="N148" s="6"/>
      <c r="O148" s="23" t="str">
        <f t="shared" si="6"/>
        <v>FALTA</v>
      </c>
      <c r="P148" s="6" t="str">
        <f t="shared" si="7"/>
        <v>OK</v>
      </c>
      <c r="Q148" s="12">
        <f>INDEX(Calendario!$B$5:$B$16,MATCH($A148,Calendario!$A$5:$A$16,0))</f>
        <v>46370</v>
      </c>
      <c r="R148" s="12">
        <f>INDEX(Calendario!$C$5:$C$16,MATCH($A148,Calendario!$A$5:$A$16,0))</f>
        <v>46383</v>
      </c>
      <c r="S148" s="6" t="str">
        <f t="shared" si="8"/>
        <v>14/12/YYYY - 15/12/YYYY</v>
      </c>
    </row>
    <row r="149" spans="1:19" x14ac:dyDescent="0.25">
      <c r="A149" s="6">
        <v>7</v>
      </c>
      <c r="B149" s="13" t="str">
        <f>Alumnos!B5</f>
        <v>Alumno 4</v>
      </c>
      <c r="C149" s="13"/>
      <c r="D149" s="13"/>
      <c r="E149" s="13"/>
      <c r="F149" s="13"/>
      <c r="G149" s="22"/>
      <c r="H149" s="27"/>
      <c r="I149" s="33"/>
      <c r="J149" s="33"/>
      <c r="K149" s="33"/>
      <c r="L149" s="33"/>
      <c r="M149" s="33"/>
      <c r="N149" s="6"/>
      <c r="O149" s="23" t="str">
        <f t="shared" si="6"/>
        <v>FALTA</v>
      </c>
      <c r="P149" s="6" t="str">
        <f t="shared" si="7"/>
        <v>OK</v>
      </c>
      <c r="Q149" s="12">
        <f>INDEX(Calendario!$B$5:$B$16,MATCH($A149,Calendario!$A$5:$A$16,0))</f>
        <v>46370</v>
      </c>
      <c r="R149" s="12">
        <f>INDEX(Calendario!$C$5:$C$16,MATCH($A149,Calendario!$A$5:$A$16,0))</f>
        <v>46383</v>
      </c>
      <c r="S149" s="6" t="str">
        <f t="shared" si="8"/>
        <v>14/12/YYYY - 15/12/YYYY</v>
      </c>
    </row>
    <row r="150" spans="1:19" x14ac:dyDescent="0.25">
      <c r="A150" s="6">
        <v>7</v>
      </c>
      <c r="B150" s="13" t="str">
        <f>Alumnos!B6</f>
        <v>Alumno 5</v>
      </c>
      <c r="C150" s="13"/>
      <c r="D150" s="13"/>
      <c r="E150" s="13"/>
      <c r="F150" s="13"/>
      <c r="G150" s="22"/>
      <c r="H150" s="27"/>
      <c r="I150" s="33"/>
      <c r="J150" s="33"/>
      <c r="K150" s="33"/>
      <c r="L150" s="33"/>
      <c r="M150" s="33"/>
      <c r="N150" s="6"/>
      <c r="O150" s="23" t="str">
        <f t="shared" si="6"/>
        <v>FALTA</v>
      </c>
      <c r="P150" s="6" t="str">
        <f t="shared" si="7"/>
        <v>OK</v>
      </c>
      <c r="Q150" s="12">
        <f>INDEX(Calendario!$B$5:$B$16,MATCH($A150,Calendario!$A$5:$A$16,0))</f>
        <v>46370</v>
      </c>
      <c r="R150" s="12">
        <f>INDEX(Calendario!$C$5:$C$16,MATCH($A150,Calendario!$A$5:$A$16,0))</f>
        <v>46383</v>
      </c>
      <c r="S150" s="6" t="str">
        <f t="shared" si="8"/>
        <v>14/12/YYYY - 15/12/YYYY</v>
      </c>
    </row>
    <row r="151" spans="1:19" x14ac:dyDescent="0.25">
      <c r="A151" s="6">
        <v>7</v>
      </c>
      <c r="B151" s="13" t="str">
        <f>Alumnos!B7</f>
        <v>Alumno 6</v>
      </c>
      <c r="C151" s="13"/>
      <c r="D151" s="13"/>
      <c r="E151" s="13"/>
      <c r="F151" s="13"/>
      <c r="G151" s="22"/>
      <c r="H151" s="27"/>
      <c r="I151" s="33"/>
      <c r="J151" s="33"/>
      <c r="K151" s="33"/>
      <c r="L151" s="33"/>
      <c r="M151" s="33"/>
      <c r="N151" s="6"/>
      <c r="O151" s="23" t="str">
        <f t="shared" si="6"/>
        <v>FALTA</v>
      </c>
      <c r="P151" s="6" t="str">
        <f t="shared" si="7"/>
        <v>OK</v>
      </c>
      <c r="Q151" s="12">
        <f>INDEX(Calendario!$B$5:$B$16,MATCH($A151,Calendario!$A$5:$A$16,0))</f>
        <v>46370</v>
      </c>
      <c r="R151" s="12">
        <f>INDEX(Calendario!$C$5:$C$16,MATCH($A151,Calendario!$A$5:$A$16,0))</f>
        <v>46383</v>
      </c>
      <c r="S151" s="6" t="str">
        <f t="shared" si="8"/>
        <v>14/12/YYYY - 15/12/YYYY</v>
      </c>
    </row>
    <row r="152" spans="1:19" x14ac:dyDescent="0.25">
      <c r="A152" s="6">
        <v>7</v>
      </c>
      <c r="B152" s="13" t="str">
        <f>Alumnos!B8</f>
        <v>Alumno 7</v>
      </c>
      <c r="C152" s="13"/>
      <c r="D152" s="13"/>
      <c r="E152" s="13"/>
      <c r="F152" s="13"/>
      <c r="G152" s="22"/>
      <c r="H152" s="27"/>
      <c r="I152" s="33"/>
      <c r="J152" s="33"/>
      <c r="K152" s="33"/>
      <c r="L152" s="33"/>
      <c r="M152" s="33"/>
      <c r="N152" s="6"/>
      <c r="O152" s="23" t="str">
        <f t="shared" si="6"/>
        <v>FALTA</v>
      </c>
      <c r="P152" s="6" t="str">
        <f t="shared" si="7"/>
        <v>OK</v>
      </c>
      <c r="Q152" s="12">
        <f>INDEX(Calendario!$B$5:$B$16,MATCH($A152,Calendario!$A$5:$A$16,0))</f>
        <v>46370</v>
      </c>
      <c r="R152" s="12">
        <f>INDEX(Calendario!$C$5:$C$16,MATCH($A152,Calendario!$A$5:$A$16,0))</f>
        <v>46383</v>
      </c>
      <c r="S152" s="6" t="str">
        <f t="shared" si="8"/>
        <v>14/12/YYYY - 15/12/YYYY</v>
      </c>
    </row>
    <row r="153" spans="1:19" x14ac:dyDescent="0.25">
      <c r="A153" s="6">
        <v>7</v>
      </c>
      <c r="B153" s="13" t="str">
        <f>Alumnos!B9</f>
        <v>Alumno 8</v>
      </c>
      <c r="C153" s="13"/>
      <c r="D153" s="13"/>
      <c r="E153" s="13"/>
      <c r="F153" s="13"/>
      <c r="G153" s="22"/>
      <c r="H153" s="27"/>
      <c r="I153" s="33"/>
      <c r="J153" s="33"/>
      <c r="K153" s="33"/>
      <c r="L153" s="33"/>
      <c r="M153" s="33"/>
      <c r="N153" s="6"/>
      <c r="O153" s="23" t="str">
        <f t="shared" si="6"/>
        <v>FALTA</v>
      </c>
      <c r="P153" s="6" t="str">
        <f t="shared" si="7"/>
        <v>OK</v>
      </c>
      <c r="Q153" s="12">
        <f>INDEX(Calendario!$B$5:$B$16,MATCH($A153,Calendario!$A$5:$A$16,0))</f>
        <v>46370</v>
      </c>
      <c r="R153" s="12">
        <f>INDEX(Calendario!$C$5:$C$16,MATCH($A153,Calendario!$A$5:$A$16,0))</f>
        <v>46383</v>
      </c>
      <c r="S153" s="6" t="str">
        <f t="shared" si="8"/>
        <v>14/12/YYYY - 15/12/YYYY</v>
      </c>
    </row>
    <row r="154" spans="1:19" x14ac:dyDescent="0.25">
      <c r="A154" s="6">
        <v>7</v>
      </c>
      <c r="B154" s="13" t="str">
        <f>Alumnos!B10</f>
        <v>Alumno 9</v>
      </c>
      <c r="C154" s="13"/>
      <c r="D154" s="13"/>
      <c r="E154" s="13"/>
      <c r="F154" s="13"/>
      <c r="G154" s="22"/>
      <c r="H154" s="27"/>
      <c r="I154" s="33"/>
      <c r="J154" s="33"/>
      <c r="K154" s="33"/>
      <c r="L154" s="33"/>
      <c r="M154" s="33"/>
      <c r="N154" s="6"/>
      <c r="O154" s="23" t="str">
        <f t="shared" si="6"/>
        <v>FALTA</v>
      </c>
      <c r="P154" s="6" t="str">
        <f t="shared" si="7"/>
        <v>OK</v>
      </c>
      <c r="Q154" s="12">
        <f>INDEX(Calendario!$B$5:$B$16,MATCH($A154,Calendario!$A$5:$A$16,0))</f>
        <v>46370</v>
      </c>
      <c r="R154" s="12">
        <f>INDEX(Calendario!$C$5:$C$16,MATCH($A154,Calendario!$A$5:$A$16,0))</f>
        <v>46383</v>
      </c>
      <c r="S154" s="6" t="str">
        <f t="shared" si="8"/>
        <v>14/12/YYYY - 15/12/YYYY</v>
      </c>
    </row>
    <row r="155" spans="1:19" x14ac:dyDescent="0.25">
      <c r="A155" s="6">
        <v>7</v>
      </c>
      <c r="B155" s="13" t="str">
        <f>Alumnos!B11</f>
        <v>Alumno 10</v>
      </c>
      <c r="C155" s="13"/>
      <c r="D155" s="13"/>
      <c r="E155" s="13"/>
      <c r="F155" s="13"/>
      <c r="G155" s="22"/>
      <c r="H155" s="27"/>
      <c r="I155" s="33"/>
      <c r="J155" s="33"/>
      <c r="K155" s="33"/>
      <c r="L155" s="33"/>
      <c r="M155" s="33"/>
      <c r="N155" s="6"/>
      <c r="O155" s="23" t="str">
        <f t="shared" si="6"/>
        <v>FALTA</v>
      </c>
      <c r="P155" s="6" t="str">
        <f t="shared" si="7"/>
        <v>OK</v>
      </c>
      <c r="Q155" s="12">
        <f>INDEX(Calendario!$B$5:$B$16,MATCH($A155,Calendario!$A$5:$A$16,0))</f>
        <v>46370</v>
      </c>
      <c r="R155" s="12">
        <f>INDEX(Calendario!$C$5:$C$16,MATCH($A155,Calendario!$A$5:$A$16,0))</f>
        <v>46383</v>
      </c>
      <c r="S155" s="6" t="str">
        <f t="shared" si="8"/>
        <v>14/12/YYYY - 15/12/YYYY</v>
      </c>
    </row>
    <row r="156" spans="1:19" x14ac:dyDescent="0.25">
      <c r="A156" s="6">
        <v>7</v>
      </c>
      <c r="B156" s="13" t="str">
        <f>Alumnos!B12</f>
        <v>Alumno 11</v>
      </c>
      <c r="C156" s="13"/>
      <c r="D156" s="13"/>
      <c r="E156" s="13"/>
      <c r="F156" s="13"/>
      <c r="G156" s="22"/>
      <c r="H156" s="27"/>
      <c r="I156" s="33"/>
      <c r="J156" s="33"/>
      <c r="K156" s="33"/>
      <c r="L156" s="33"/>
      <c r="M156" s="33"/>
      <c r="N156" s="6"/>
      <c r="O156" s="23" t="str">
        <f t="shared" si="6"/>
        <v>FALTA</v>
      </c>
      <c r="P156" s="6" t="str">
        <f t="shared" si="7"/>
        <v>OK</v>
      </c>
      <c r="Q156" s="12">
        <f>INDEX(Calendario!$B$5:$B$16,MATCH($A156,Calendario!$A$5:$A$16,0))</f>
        <v>46370</v>
      </c>
      <c r="R156" s="12">
        <f>INDEX(Calendario!$C$5:$C$16,MATCH($A156,Calendario!$A$5:$A$16,0))</f>
        <v>46383</v>
      </c>
      <c r="S156" s="6" t="str">
        <f t="shared" si="8"/>
        <v>14/12/YYYY - 15/12/YYYY</v>
      </c>
    </row>
    <row r="157" spans="1:19" x14ac:dyDescent="0.25">
      <c r="A157" s="6">
        <v>7</v>
      </c>
      <c r="B157" s="13" t="str">
        <f>Alumnos!B13</f>
        <v>Alumno 12</v>
      </c>
      <c r="C157" s="13"/>
      <c r="D157" s="13"/>
      <c r="E157" s="13"/>
      <c r="F157" s="13"/>
      <c r="G157" s="22"/>
      <c r="H157" s="27"/>
      <c r="I157" s="33"/>
      <c r="J157" s="33"/>
      <c r="K157" s="33"/>
      <c r="L157" s="33"/>
      <c r="M157" s="33"/>
      <c r="N157" s="6"/>
      <c r="O157" s="23" t="str">
        <f t="shared" si="6"/>
        <v>FALTA</v>
      </c>
      <c r="P157" s="6" t="str">
        <f t="shared" si="7"/>
        <v>OK</v>
      </c>
      <c r="Q157" s="12">
        <f>INDEX(Calendario!$B$5:$B$16,MATCH($A157,Calendario!$A$5:$A$16,0))</f>
        <v>46370</v>
      </c>
      <c r="R157" s="12">
        <f>INDEX(Calendario!$C$5:$C$16,MATCH($A157,Calendario!$A$5:$A$16,0))</f>
        <v>46383</v>
      </c>
      <c r="S157" s="6" t="str">
        <f t="shared" si="8"/>
        <v>14/12/YYYY - 15/12/YYYY</v>
      </c>
    </row>
    <row r="158" spans="1:19" x14ac:dyDescent="0.25">
      <c r="A158" s="6">
        <v>7</v>
      </c>
      <c r="B158" s="13" t="str">
        <f>Alumnos!B14</f>
        <v>Alumno 13</v>
      </c>
      <c r="C158" s="13"/>
      <c r="D158" s="13"/>
      <c r="E158" s="13"/>
      <c r="F158" s="13"/>
      <c r="G158" s="22"/>
      <c r="H158" s="27"/>
      <c r="I158" s="33"/>
      <c r="J158" s="33"/>
      <c r="K158" s="33"/>
      <c r="L158" s="33"/>
      <c r="M158" s="33"/>
      <c r="N158" s="6"/>
      <c r="O158" s="23" t="str">
        <f t="shared" si="6"/>
        <v>FALTA</v>
      </c>
      <c r="P158" s="6" t="str">
        <f t="shared" si="7"/>
        <v>OK</v>
      </c>
      <c r="Q158" s="12">
        <f>INDEX(Calendario!$B$5:$B$16,MATCH($A158,Calendario!$A$5:$A$16,0))</f>
        <v>46370</v>
      </c>
      <c r="R158" s="12">
        <f>INDEX(Calendario!$C$5:$C$16,MATCH($A158,Calendario!$A$5:$A$16,0))</f>
        <v>46383</v>
      </c>
      <c r="S158" s="6" t="str">
        <f t="shared" si="8"/>
        <v>14/12/YYYY - 15/12/YYYY</v>
      </c>
    </row>
    <row r="159" spans="1:19" x14ac:dyDescent="0.25">
      <c r="A159" s="6">
        <v>7</v>
      </c>
      <c r="B159" s="13" t="str">
        <f>Alumnos!B15</f>
        <v>Alumno 14</v>
      </c>
      <c r="C159" s="13"/>
      <c r="D159" s="13"/>
      <c r="E159" s="13"/>
      <c r="F159" s="13"/>
      <c r="G159" s="22"/>
      <c r="H159" s="27"/>
      <c r="I159" s="33"/>
      <c r="J159" s="33"/>
      <c r="K159" s="33"/>
      <c r="L159" s="33"/>
      <c r="M159" s="33"/>
      <c r="N159" s="6"/>
      <c r="O159" s="23" t="str">
        <f t="shared" si="6"/>
        <v>FALTA</v>
      </c>
      <c r="P159" s="6" t="str">
        <f t="shared" si="7"/>
        <v>OK</v>
      </c>
      <c r="Q159" s="12">
        <f>INDEX(Calendario!$B$5:$B$16,MATCH($A159,Calendario!$A$5:$A$16,0))</f>
        <v>46370</v>
      </c>
      <c r="R159" s="12">
        <f>INDEX(Calendario!$C$5:$C$16,MATCH($A159,Calendario!$A$5:$A$16,0))</f>
        <v>46383</v>
      </c>
      <c r="S159" s="6" t="str">
        <f t="shared" si="8"/>
        <v>14/12/YYYY - 15/12/YYYY</v>
      </c>
    </row>
    <row r="160" spans="1:19" x14ac:dyDescent="0.25">
      <c r="A160" s="6">
        <v>7</v>
      </c>
      <c r="B160" s="13" t="str">
        <f>Alumnos!B16</f>
        <v>Alumno 15</v>
      </c>
      <c r="C160" s="13"/>
      <c r="D160" s="13"/>
      <c r="E160" s="13"/>
      <c r="F160" s="13"/>
      <c r="G160" s="22"/>
      <c r="H160" s="27"/>
      <c r="I160" s="33"/>
      <c r="J160" s="33"/>
      <c r="K160" s="33"/>
      <c r="L160" s="33"/>
      <c r="M160" s="33"/>
      <c r="N160" s="6"/>
      <c r="O160" s="23" t="str">
        <f t="shared" si="6"/>
        <v>FALTA</v>
      </c>
      <c r="P160" s="6" t="str">
        <f t="shared" si="7"/>
        <v>OK</v>
      </c>
      <c r="Q160" s="12">
        <f>INDEX(Calendario!$B$5:$B$16,MATCH($A160,Calendario!$A$5:$A$16,0))</f>
        <v>46370</v>
      </c>
      <c r="R160" s="12">
        <f>INDEX(Calendario!$C$5:$C$16,MATCH($A160,Calendario!$A$5:$A$16,0))</f>
        <v>46383</v>
      </c>
      <c r="S160" s="6" t="str">
        <f t="shared" si="8"/>
        <v>14/12/YYYY - 15/12/YYYY</v>
      </c>
    </row>
    <row r="161" spans="1:19" x14ac:dyDescent="0.25">
      <c r="A161" s="6">
        <v>7</v>
      </c>
      <c r="B161" s="13" t="str">
        <f>Alumnos!B17</f>
        <v>Alumno 16</v>
      </c>
      <c r="C161" s="13"/>
      <c r="D161" s="13"/>
      <c r="E161" s="13"/>
      <c r="F161" s="13"/>
      <c r="G161" s="22"/>
      <c r="H161" s="27"/>
      <c r="I161" s="33"/>
      <c r="J161" s="33"/>
      <c r="K161" s="33"/>
      <c r="L161" s="33"/>
      <c r="M161" s="33"/>
      <c r="N161" s="6"/>
      <c r="O161" s="23" t="str">
        <f t="shared" si="6"/>
        <v>FALTA</v>
      </c>
      <c r="P161" s="6" t="str">
        <f t="shared" si="7"/>
        <v>OK</v>
      </c>
      <c r="Q161" s="12">
        <f>INDEX(Calendario!$B$5:$B$16,MATCH($A161,Calendario!$A$5:$A$16,0))</f>
        <v>46370</v>
      </c>
      <c r="R161" s="12">
        <f>INDEX(Calendario!$C$5:$C$16,MATCH($A161,Calendario!$A$5:$A$16,0))</f>
        <v>46383</v>
      </c>
      <c r="S161" s="6" t="str">
        <f t="shared" si="8"/>
        <v>14/12/YYYY - 15/12/YYYY</v>
      </c>
    </row>
    <row r="162" spans="1:19" x14ac:dyDescent="0.25">
      <c r="A162" s="6">
        <v>7</v>
      </c>
      <c r="B162" s="13" t="str">
        <f>Alumnos!B18</f>
        <v>Alumno 17</v>
      </c>
      <c r="C162" s="13"/>
      <c r="D162" s="13"/>
      <c r="E162" s="13"/>
      <c r="F162" s="13"/>
      <c r="G162" s="22"/>
      <c r="H162" s="27"/>
      <c r="I162" s="33"/>
      <c r="J162" s="33"/>
      <c r="K162" s="33"/>
      <c r="L162" s="33"/>
      <c r="M162" s="33"/>
      <c r="N162" s="6"/>
      <c r="O162" s="23" t="str">
        <f t="shared" si="6"/>
        <v>FALTA</v>
      </c>
      <c r="P162" s="6" t="str">
        <f t="shared" si="7"/>
        <v>OK</v>
      </c>
      <c r="Q162" s="12">
        <f>INDEX(Calendario!$B$5:$B$16,MATCH($A162,Calendario!$A$5:$A$16,0))</f>
        <v>46370</v>
      </c>
      <c r="R162" s="12">
        <f>INDEX(Calendario!$C$5:$C$16,MATCH($A162,Calendario!$A$5:$A$16,0))</f>
        <v>46383</v>
      </c>
      <c r="S162" s="6" t="str">
        <f t="shared" si="8"/>
        <v>14/12/YYYY - 15/12/YYYY</v>
      </c>
    </row>
    <row r="163" spans="1:19" x14ac:dyDescent="0.25">
      <c r="A163" s="6">
        <v>7</v>
      </c>
      <c r="B163" s="13" t="str">
        <f>Alumnos!B19</f>
        <v>Alumno 18</v>
      </c>
      <c r="C163" s="13"/>
      <c r="D163" s="13"/>
      <c r="E163" s="13"/>
      <c r="F163" s="13"/>
      <c r="G163" s="22"/>
      <c r="H163" s="27"/>
      <c r="I163" s="33"/>
      <c r="J163" s="33"/>
      <c r="K163" s="33"/>
      <c r="L163" s="33"/>
      <c r="M163" s="33"/>
      <c r="N163" s="6"/>
      <c r="O163" s="23" t="str">
        <f t="shared" si="6"/>
        <v>FALTA</v>
      </c>
      <c r="P163" s="6" t="str">
        <f t="shared" si="7"/>
        <v>OK</v>
      </c>
      <c r="Q163" s="12">
        <f>INDEX(Calendario!$B$5:$B$16,MATCH($A163,Calendario!$A$5:$A$16,0))</f>
        <v>46370</v>
      </c>
      <c r="R163" s="12">
        <f>INDEX(Calendario!$C$5:$C$16,MATCH($A163,Calendario!$A$5:$A$16,0))</f>
        <v>46383</v>
      </c>
      <c r="S163" s="6" t="str">
        <f t="shared" si="8"/>
        <v>14/12/YYYY - 15/12/YYYY</v>
      </c>
    </row>
    <row r="164" spans="1:19" x14ac:dyDescent="0.25">
      <c r="A164" s="6">
        <v>7</v>
      </c>
      <c r="B164" s="13" t="str">
        <f>Alumnos!B20</f>
        <v>Alumno 19</v>
      </c>
      <c r="C164" s="13"/>
      <c r="D164" s="13"/>
      <c r="E164" s="13"/>
      <c r="F164" s="13"/>
      <c r="G164" s="22"/>
      <c r="H164" s="27"/>
      <c r="I164" s="33"/>
      <c r="J164" s="33"/>
      <c r="K164" s="33"/>
      <c r="L164" s="33"/>
      <c r="M164" s="33"/>
      <c r="N164" s="6"/>
      <c r="O164" s="23" t="str">
        <f t="shared" si="6"/>
        <v>FALTA</v>
      </c>
      <c r="P164" s="6" t="str">
        <f t="shared" si="7"/>
        <v>OK</v>
      </c>
      <c r="Q164" s="12">
        <f>INDEX(Calendario!$B$5:$B$16,MATCH($A164,Calendario!$A$5:$A$16,0))</f>
        <v>46370</v>
      </c>
      <c r="R164" s="12">
        <f>INDEX(Calendario!$C$5:$C$16,MATCH($A164,Calendario!$A$5:$A$16,0))</f>
        <v>46383</v>
      </c>
      <c r="S164" s="6" t="str">
        <f t="shared" si="8"/>
        <v>14/12/YYYY - 15/12/YYYY</v>
      </c>
    </row>
    <row r="165" spans="1:19" x14ac:dyDescent="0.25">
      <c r="A165" s="6">
        <v>7</v>
      </c>
      <c r="B165" s="13" t="str">
        <f>Alumnos!B21</f>
        <v>Alumno 20</v>
      </c>
      <c r="C165" s="13"/>
      <c r="D165" s="13"/>
      <c r="E165" s="13"/>
      <c r="F165" s="13"/>
      <c r="G165" s="22"/>
      <c r="H165" s="27"/>
      <c r="I165" s="33"/>
      <c r="J165" s="33"/>
      <c r="K165" s="33"/>
      <c r="L165" s="33"/>
      <c r="M165" s="33"/>
      <c r="N165" s="6"/>
      <c r="O165" s="23" t="str">
        <f t="shared" si="6"/>
        <v>FALTA</v>
      </c>
      <c r="P165" s="6" t="str">
        <f t="shared" si="7"/>
        <v>OK</v>
      </c>
      <c r="Q165" s="12">
        <f>INDEX(Calendario!$B$5:$B$16,MATCH($A165,Calendario!$A$5:$A$16,0))</f>
        <v>46370</v>
      </c>
      <c r="R165" s="12">
        <f>INDEX(Calendario!$C$5:$C$16,MATCH($A165,Calendario!$A$5:$A$16,0))</f>
        <v>46383</v>
      </c>
      <c r="S165" s="6" t="str">
        <f t="shared" si="8"/>
        <v>14/12/YYYY - 15/12/YYYY</v>
      </c>
    </row>
    <row r="166" spans="1:19" x14ac:dyDescent="0.25">
      <c r="A166" s="6">
        <v>7</v>
      </c>
      <c r="B166" s="13" t="str">
        <f>Alumnos!B22</f>
        <v>Alumno 21</v>
      </c>
      <c r="C166" s="13"/>
      <c r="D166" s="13"/>
      <c r="E166" s="13"/>
      <c r="F166" s="13"/>
      <c r="G166" s="22"/>
      <c r="H166" s="27"/>
      <c r="I166" s="33"/>
      <c r="J166" s="33"/>
      <c r="K166" s="33"/>
      <c r="L166" s="33"/>
      <c r="M166" s="33"/>
      <c r="N166" s="6"/>
      <c r="O166" s="23" t="str">
        <f t="shared" si="6"/>
        <v>FALTA</v>
      </c>
      <c r="P166" s="6" t="str">
        <f t="shared" si="7"/>
        <v>OK</v>
      </c>
      <c r="Q166" s="12">
        <f>INDEX(Calendario!$B$5:$B$16,MATCH($A166,Calendario!$A$5:$A$16,0))</f>
        <v>46370</v>
      </c>
      <c r="R166" s="12">
        <f>INDEX(Calendario!$C$5:$C$16,MATCH($A166,Calendario!$A$5:$A$16,0))</f>
        <v>46383</v>
      </c>
      <c r="S166" s="6" t="str">
        <f t="shared" si="8"/>
        <v>14/12/YYYY - 15/12/YYYY</v>
      </c>
    </row>
    <row r="167" spans="1:19" x14ac:dyDescent="0.25">
      <c r="A167" s="6">
        <v>7</v>
      </c>
      <c r="B167" s="13" t="str">
        <f>Alumnos!B23</f>
        <v>Alumno 22</v>
      </c>
      <c r="C167" s="13"/>
      <c r="D167" s="13"/>
      <c r="E167" s="13"/>
      <c r="F167" s="13"/>
      <c r="G167" s="22"/>
      <c r="H167" s="27"/>
      <c r="I167" s="33"/>
      <c r="J167" s="33"/>
      <c r="K167" s="33"/>
      <c r="L167" s="33"/>
      <c r="M167" s="33"/>
      <c r="N167" s="6"/>
      <c r="O167" s="23" t="str">
        <f t="shared" si="6"/>
        <v>FALTA</v>
      </c>
      <c r="P167" s="6" t="str">
        <f t="shared" si="7"/>
        <v>OK</v>
      </c>
      <c r="Q167" s="12">
        <f>INDEX(Calendario!$B$5:$B$16,MATCH($A167,Calendario!$A$5:$A$16,0))</f>
        <v>46370</v>
      </c>
      <c r="R167" s="12">
        <f>INDEX(Calendario!$C$5:$C$16,MATCH($A167,Calendario!$A$5:$A$16,0))</f>
        <v>46383</v>
      </c>
      <c r="S167" s="6" t="str">
        <f t="shared" si="8"/>
        <v>14/12/YYYY - 15/12/YYYY</v>
      </c>
    </row>
    <row r="168" spans="1:19" x14ac:dyDescent="0.25">
      <c r="A168" s="6">
        <v>7</v>
      </c>
      <c r="B168" s="13" t="str">
        <f>Alumnos!B24</f>
        <v>Alumno 23</v>
      </c>
      <c r="C168" s="13"/>
      <c r="D168" s="13"/>
      <c r="E168" s="13"/>
      <c r="F168" s="13"/>
      <c r="G168" s="22"/>
      <c r="H168" s="27"/>
      <c r="I168" s="33"/>
      <c r="J168" s="33"/>
      <c r="K168" s="33"/>
      <c r="L168" s="33"/>
      <c r="M168" s="33"/>
      <c r="N168" s="6"/>
      <c r="O168" s="23" t="str">
        <f t="shared" si="6"/>
        <v>FALTA</v>
      </c>
      <c r="P168" s="6" t="str">
        <f t="shared" si="7"/>
        <v>OK</v>
      </c>
      <c r="Q168" s="12">
        <f>INDEX(Calendario!$B$5:$B$16,MATCH($A168,Calendario!$A$5:$A$16,0))</f>
        <v>46370</v>
      </c>
      <c r="R168" s="12">
        <f>INDEX(Calendario!$C$5:$C$16,MATCH($A168,Calendario!$A$5:$A$16,0))</f>
        <v>46383</v>
      </c>
      <c r="S168" s="6" t="str">
        <f t="shared" si="8"/>
        <v>14/12/YYYY - 15/12/YYYY</v>
      </c>
    </row>
    <row r="169" spans="1:19" x14ac:dyDescent="0.25">
      <c r="A169" s="6">
        <v>7</v>
      </c>
      <c r="B169" s="13" t="str">
        <f>Alumnos!B25</f>
        <v>Alumno 24</v>
      </c>
      <c r="C169" s="13"/>
      <c r="D169" s="13"/>
      <c r="E169" s="13"/>
      <c r="F169" s="13"/>
      <c r="G169" s="22"/>
      <c r="H169" s="27"/>
      <c r="I169" s="33"/>
      <c r="J169" s="33"/>
      <c r="K169" s="33"/>
      <c r="L169" s="33"/>
      <c r="M169" s="33"/>
      <c r="N169" s="6"/>
      <c r="O169" s="23" t="str">
        <f t="shared" si="6"/>
        <v>FALTA</v>
      </c>
      <c r="P169" s="6" t="str">
        <f t="shared" si="7"/>
        <v>OK</v>
      </c>
      <c r="Q169" s="12">
        <f>INDEX(Calendario!$B$5:$B$16,MATCH($A169,Calendario!$A$5:$A$16,0))</f>
        <v>46370</v>
      </c>
      <c r="R169" s="12">
        <f>INDEX(Calendario!$C$5:$C$16,MATCH($A169,Calendario!$A$5:$A$16,0))</f>
        <v>46383</v>
      </c>
      <c r="S169" s="6" t="str">
        <f t="shared" si="8"/>
        <v>14/12/YYYY - 15/12/YYYY</v>
      </c>
    </row>
    <row r="170" spans="1:19" x14ac:dyDescent="0.25">
      <c r="A170" s="20">
        <v>8</v>
      </c>
      <c r="B170" s="21" t="str">
        <f>Alumnos!B2</f>
        <v>Alumno 1</v>
      </c>
      <c r="C170" s="21"/>
      <c r="D170" s="21"/>
      <c r="E170" s="21"/>
      <c r="F170" s="21"/>
      <c r="G170" s="25"/>
      <c r="H170" s="28"/>
      <c r="I170" s="34"/>
      <c r="J170" s="34"/>
      <c r="K170" s="34"/>
      <c r="L170" s="34"/>
      <c r="M170" s="34"/>
      <c r="N170" s="20"/>
      <c r="O170" s="23" t="str">
        <f t="shared" si="6"/>
        <v>FALTA</v>
      </c>
      <c r="P170" s="6" t="str">
        <f t="shared" si="7"/>
        <v>OK</v>
      </c>
      <c r="Q170" s="12">
        <f>INDEX(Calendario!$B$5:$B$16,MATCH($A170,Calendario!$A$5:$A$16,0))</f>
        <v>46384</v>
      </c>
      <c r="R170" s="12">
        <f>INDEX(Calendario!$C$5:$C$16,MATCH($A170,Calendario!$A$5:$A$16,0))</f>
        <v>46397</v>
      </c>
      <c r="S170" s="6" t="str">
        <f t="shared" si="8"/>
        <v>28/12/YYYY - 29/12/YYYY</v>
      </c>
    </row>
    <row r="171" spans="1:19" x14ac:dyDescent="0.25">
      <c r="A171" s="6">
        <v>8</v>
      </c>
      <c r="B171" s="13" t="str">
        <f>Alumnos!B3</f>
        <v>Alumno 2</v>
      </c>
      <c r="C171" s="13"/>
      <c r="D171" s="13"/>
      <c r="E171" s="13"/>
      <c r="F171" s="13"/>
      <c r="G171" s="22"/>
      <c r="H171" s="27"/>
      <c r="I171" s="33"/>
      <c r="J171" s="33"/>
      <c r="K171" s="33"/>
      <c r="L171" s="33"/>
      <c r="M171" s="33"/>
      <c r="N171" s="6"/>
      <c r="O171" s="23" t="str">
        <f t="shared" si="6"/>
        <v>FALTA</v>
      </c>
      <c r="P171" s="6" t="str">
        <f t="shared" si="7"/>
        <v>OK</v>
      </c>
      <c r="Q171" s="12">
        <f>INDEX(Calendario!$B$5:$B$16,MATCH($A171,Calendario!$A$5:$A$16,0))</f>
        <v>46384</v>
      </c>
      <c r="R171" s="12">
        <f>INDEX(Calendario!$C$5:$C$16,MATCH($A171,Calendario!$A$5:$A$16,0))</f>
        <v>46397</v>
      </c>
      <c r="S171" s="6" t="str">
        <f t="shared" si="8"/>
        <v>28/12/YYYY - 29/12/YYYY</v>
      </c>
    </row>
    <row r="172" spans="1:19" x14ac:dyDescent="0.25">
      <c r="A172" s="6">
        <v>8</v>
      </c>
      <c r="B172" s="13" t="str">
        <f>Alumnos!B4</f>
        <v>Alumno 3</v>
      </c>
      <c r="C172" s="13"/>
      <c r="D172" s="13"/>
      <c r="E172" s="13"/>
      <c r="F172" s="13"/>
      <c r="G172" s="22"/>
      <c r="H172" s="27"/>
      <c r="I172" s="33"/>
      <c r="J172" s="33"/>
      <c r="K172" s="33"/>
      <c r="L172" s="33"/>
      <c r="M172" s="33"/>
      <c r="N172" s="6"/>
      <c r="O172" s="23" t="str">
        <f t="shared" si="6"/>
        <v>FALTA</v>
      </c>
      <c r="P172" s="6" t="str">
        <f t="shared" si="7"/>
        <v>OK</v>
      </c>
      <c r="Q172" s="12">
        <f>INDEX(Calendario!$B$5:$B$16,MATCH($A172,Calendario!$A$5:$A$16,0))</f>
        <v>46384</v>
      </c>
      <c r="R172" s="12">
        <f>INDEX(Calendario!$C$5:$C$16,MATCH($A172,Calendario!$A$5:$A$16,0))</f>
        <v>46397</v>
      </c>
      <c r="S172" s="6" t="str">
        <f t="shared" si="8"/>
        <v>28/12/YYYY - 29/12/YYYY</v>
      </c>
    </row>
    <row r="173" spans="1:19" x14ac:dyDescent="0.25">
      <c r="A173" s="6">
        <v>8</v>
      </c>
      <c r="B173" s="13" t="str">
        <f>Alumnos!B5</f>
        <v>Alumno 4</v>
      </c>
      <c r="C173" s="13"/>
      <c r="D173" s="13"/>
      <c r="E173" s="13"/>
      <c r="F173" s="13"/>
      <c r="G173" s="22"/>
      <c r="H173" s="27"/>
      <c r="I173" s="33"/>
      <c r="J173" s="33"/>
      <c r="K173" s="33"/>
      <c r="L173" s="33"/>
      <c r="M173" s="33"/>
      <c r="N173" s="6"/>
      <c r="O173" s="23" t="str">
        <f t="shared" si="6"/>
        <v>FALTA</v>
      </c>
      <c r="P173" s="6" t="str">
        <f t="shared" si="7"/>
        <v>OK</v>
      </c>
      <c r="Q173" s="12">
        <f>INDEX(Calendario!$B$5:$B$16,MATCH($A173,Calendario!$A$5:$A$16,0))</f>
        <v>46384</v>
      </c>
      <c r="R173" s="12">
        <f>INDEX(Calendario!$C$5:$C$16,MATCH($A173,Calendario!$A$5:$A$16,0))</f>
        <v>46397</v>
      </c>
      <c r="S173" s="6" t="str">
        <f t="shared" si="8"/>
        <v>28/12/YYYY - 29/12/YYYY</v>
      </c>
    </row>
    <row r="174" spans="1:19" x14ac:dyDescent="0.25">
      <c r="A174" s="6">
        <v>8</v>
      </c>
      <c r="B174" s="13" t="str">
        <f>Alumnos!B6</f>
        <v>Alumno 5</v>
      </c>
      <c r="C174" s="13"/>
      <c r="D174" s="13"/>
      <c r="E174" s="13"/>
      <c r="F174" s="13"/>
      <c r="G174" s="22"/>
      <c r="H174" s="27"/>
      <c r="I174" s="33"/>
      <c r="J174" s="33"/>
      <c r="K174" s="33"/>
      <c r="L174" s="33"/>
      <c r="M174" s="33"/>
      <c r="N174" s="6"/>
      <c r="O174" s="23" t="str">
        <f t="shared" si="6"/>
        <v>FALTA</v>
      </c>
      <c r="P174" s="6" t="str">
        <f t="shared" si="7"/>
        <v>OK</v>
      </c>
      <c r="Q174" s="12">
        <f>INDEX(Calendario!$B$5:$B$16,MATCH($A174,Calendario!$A$5:$A$16,0))</f>
        <v>46384</v>
      </c>
      <c r="R174" s="12">
        <f>INDEX(Calendario!$C$5:$C$16,MATCH($A174,Calendario!$A$5:$A$16,0))</f>
        <v>46397</v>
      </c>
      <c r="S174" s="6" t="str">
        <f t="shared" si="8"/>
        <v>28/12/YYYY - 29/12/YYYY</v>
      </c>
    </row>
    <row r="175" spans="1:19" x14ac:dyDescent="0.25">
      <c r="A175" s="6">
        <v>8</v>
      </c>
      <c r="B175" s="13" t="str">
        <f>Alumnos!B7</f>
        <v>Alumno 6</v>
      </c>
      <c r="C175" s="13"/>
      <c r="D175" s="13"/>
      <c r="E175" s="13"/>
      <c r="F175" s="13"/>
      <c r="G175" s="22"/>
      <c r="H175" s="27"/>
      <c r="I175" s="33"/>
      <c r="J175" s="33"/>
      <c r="K175" s="33"/>
      <c r="L175" s="33"/>
      <c r="M175" s="33"/>
      <c r="N175" s="6"/>
      <c r="O175" s="23" t="str">
        <f t="shared" si="6"/>
        <v>FALTA</v>
      </c>
      <c r="P175" s="6" t="str">
        <f t="shared" si="7"/>
        <v>OK</v>
      </c>
      <c r="Q175" s="12">
        <f>INDEX(Calendario!$B$5:$B$16,MATCH($A175,Calendario!$A$5:$A$16,0))</f>
        <v>46384</v>
      </c>
      <c r="R175" s="12">
        <f>INDEX(Calendario!$C$5:$C$16,MATCH($A175,Calendario!$A$5:$A$16,0))</f>
        <v>46397</v>
      </c>
      <c r="S175" s="6" t="str">
        <f t="shared" si="8"/>
        <v>28/12/YYYY - 29/12/YYYY</v>
      </c>
    </row>
    <row r="176" spans="1:19" x14ac:dyDescent="0.25">
      <c r="A176" s="6">
        <v>8</v>
      </c>
      <c r="B176" s="13" t="str">
        <f>Alumnos!B8</f>
        <v>Alumno 7</v>
      </c>
      <c r="C176" s="13"/>
      <c r="D176" s="13"/>
      <c r="E176" s="13"/>
      <c r="F176" s="13"/>
      <c r="G176" s="22"/>
      <c r="H176" s="27"/>
      <c r="I176" s="33"/>
      <c r="J176" s="33"/>
      <c r="K176" s="33"/>
      <c r="L176" s="33"/>
      <c r="M176" s="33"/>
      <c r="N176" s="6"/>
      <c r="O176" s="23" t="str">
        <f t="shared" si="6"/>
        <v>FALTA</v>
      </c>
      <c r="P176" s="6" t="str">
        <f t="shared" si="7"/>
        <v>OK</v>
      </c>
      <c r="Q176" s="12">
        <f>INDEX(Calendario!$B$5:$B$16,MATCH($A176,Calendario!$A$5:$A$16,0))</f>
        <v>46384</v>
      </c>
      <c r="R176" s="12">
        <f>INDEX(Calendario!$C$5:$C$16,MATCH($A176,Calendario!$A$5:$A$16,0))</f>
        <v>46397</v>
      </c>
      <c r="S176" s="6" t="str">
        <f t="shared" si="8"/>
        <v>28/12/YYYY - 29/12/YYYY</v>
      </c>
    </row>
    <row r="177" spans="1:19" x14ac:dyDescent="0.25">
      <c r="A177" s="6">
        <v>8</v>
      </c>
      <c r="B177" s="13" t="str">
        <f>Alumnos!B9</f>
        <v>Alumno 8</v>
      </c>
      <c r="C177" s="13"/>
      <c r="D177" s="13"/>
      <c r="E177" s="13"/>
      <c r="F177" s="13"/>
      <c r="G177" s="22"/>
      <c r="H177" s="27"/>
      <c r="I177" s="33"/>
      <c r="J177" s="33"/>
      <c r="K177" s="33"/>
      <c r="L177" s="33"/>
      <c r="M177" s="33"/>
      <c r="N177" s="6"/>
      <c r="O177" s="23" t="str">
        <f t="shared" si="6"/>
        <v>FALTA</v>
      </c>
      <c r="P177" s="6" t="str">
        <f t="shared" si="7"/>
        <v>OK</v>
      </c>
      <c r="Q177" s="12">
        <f>INDEX(Calendario!$B$5:$B$16,MATCH($A177,Calendario!$A$5:$A$16,0))</f>
        <v>46384</v>
      </c>
      <c r="R177" s="12">
        <f>INDEX(Calendario!$C$5:$C$16,MATCH($A177,Calendario!$A$5:$A$16,0))</f>
        <v>46397</v>
      </c>
      <c r="S177" s="6" t="str">
        <f t="shared" si="8"/>
        <v>28/12/YYYY - 29/12/YYYY</v>
      </c>
    </row>
    <row r="178" spans="1:19" x14ac:dyDescent="0.25">
      <c r="A178" s="6">
        <v>8</v>
      </c>
      <c r="B178" s="13" t="str">
        <f>Alumnos!B10</f>
        <v>Alumno 9</v>
      </c>
      <c r="C178" s="13"/>
      <c r="D178" s="13"/>
      <c r="E178" s="13"/>
      <c r="F178" s="13"/>
      <c r="G178" s="22"/>
      <c r="H178" s="27"/>
      <c r="I178" s="33"/>
      <c r="J178" s="33"/>
      <c r="K178" s="33"/>
      <c r="L178" s="33"/>
      <c r="M178" s="33"/>
      <c r="N178" s="6"/>
      <c r="O178" s="23" t="str">
        <f t="shared" si="6"/>
        <v>FALTA</v>
      </c>
      <c r="P178" s="6" t="str">
        <f t="shared" si="7"/>
        <v>OK</v>
      </c>
      <c r="Q178" s="12">
        <f>INDEX(Calendario!$B$5:$B$16,MATCH($A178,Calendario!$A$5:$A$16,0))</f>
        <v>46384</v>
      </c>
      <c r="R178" s="12">
        <f>INDEX(Calendario!$C$5:$C$16,MATCH($A178,Calendario!$A$5:$A$16,0))</f>
        <v>46397</v>
      </c>
      <c r="S178" s="6" t="str">
        <f t="shared" si="8"/>
        <v>28/12/YYYY - 29/12/YYYY</v>
      </c>
    </row>
    <row r="179" spans="1:19" x14ac:dyDescent="0.25">
      <c r="A179" s="6">
        <v>8</v>
      </c>
      <c r="B179" s="13" t="str">
        <f>Alumnos!B11</f>
        <v>Alumno 10</v>
      </c>
      <c r="C179" s="13"/>
      <c r="D179" s="13"/>
      <c r="E179" s="13"/>
      <c r="F179" s="13"/>
      <c r="G179" s="22"/>
      <c r="H179" s="27"/>
      <c r="I179" s="33"/>
      <c r="J179" s="33"/>
      <c r="K179" s="33"/>
      <c r="L179" s="33"/>
      <c r="M179" s="33"/>
      <c r="N179" s="6"/>
      <c r="O179" s="23" t="str">
        <f t="shared" si="6"/>
        <v>FALTA</v>
      </c>
      <c r="P179" s="6" t="str">
        <f t="shared" si="7"/>
        <v>OK</v>
      </c>
      <c r="Q179" s="12">
        <f>INDEX(Calendario!$B$5:$B$16,MATCH($A179,Calendario!$A$5:$A$16,0))</f>
        <v>46384</v>
      </c>
      <c r="R179" s="12">
        <f>INDEX(Calendario!$C$5:$C$16,MATCH($A179,Calendario!$A$5:$A$16,0))</f>
        <v>46397</v>
      </c>
      <c r="S179" s="6" t="str">
        <f t="shared" si="8"/>
        <v>28/12/YYYY - 29/12/YYYY</v>
      </c>
    </row>
    <row r="180" spans="1:19" x14ac:dyDescent="0.25">
      <c r="A180" s="6">
        <v>8</v>
      </c>
      <c r="B180" s="13" t="str">
        <f>Alumnos!B12</f>
        <v>Alumno 11</v>
      </c>
      <c r="C180" s="13"/>
      <c r="D180" s="13"/>
      <c r="E180" s="13"/>
      <c r="F180" s="13"/>
      <c r="G180" s="22"/>
      <c r="H180" s="27"/>
      <c r="I180" s="33"/>
      <c r="J180" s="33"/>
      <c r="K180" s="33"/>
      <c r="L180" s="33"/>
      <c r="M180" s="33"/>
      <c r="N180" s="6"/>
      <c r="O180" s="23" t="str">
        <f t="shared" si="6"/>
        <v>FALTA</v>
      </c>
      <c r="P180" s="6" t="str">
        <f t="shared" si="7"/>
        <v>OK</v>
      </c>
      <c r="Q180" s="12">
        <f>INDEX(Calendario!$B$5:$B$16,MATCH($A180,Calendario!$A$5:$A$16,0))</f>
        <v>46384</v>
      </c>
      <c r="R180" s="12">
        <f>INDEX(Calendario!$C$5:$C$16,MATCH($A180,Calendario!$A$5:$A$16,0))</f>
        <v>46397</v>
      </c>
      <c r="S180" s="6" t="str">
        <f t="shared" si="8"/>
        <v>28/12/YYYY - 29/12/YYYY</v>
      </c>
    </row>
    <row r="181" spans="1:19" x14ac:dyDescent="0.25">
      <c r="A181" s="6">
        <v>8</v>
      </c>
      <c r="B181" s="13" t="str">
        <f>Alumnos!B13</f>
        <v>Alumno 12</v>
      </c>
      <c r="C181" s="13"/>
      <c r="D181" s="13"/>
      <c r="E181" s="13"/>
      <c r="F181" s="13"/>
      <c r="G181" s="22"/>
      <c r="H181" s="27"/>
      <c r="I181" s="33"/>
      <c r="J181" s="33"/>
      <c r="K181" s="33"/>
      <c r="L181" s="33"/>
      <c r="M181" s="33"/>
      <c r="N181" s="6"/>
      <c r="O181" s="23" t="str">
        <f t="shared" si="6"/>
        <v>FALTA</v>
      </c>
      <c r="P181" s="6" t="str">
        <f t="shared" si="7"/>
        <v>OK</v>
      </c>
      <c r="Q181" s="12">
        <f>INDEX(Calendario!$B$5:$B$16,MATCH($A181,Calendario!$A$5:$A$16,0))</f>
        <v>46384</v>
      </c>
      <c r="R181" s="12">
        <f>INDEX(Calendario!$C$5:$C$16,MATCH($A181,Calendario!$A$5:$A$16,0))</f>
        <v>46397</v>
      </c>
      <c r="S181" s="6" t="str">
        <f t="shared" si="8"/>
        <v>28/12/YYYY - 29/12/YYYY</v>
      </c>
    </row>
    <row r="182" spans="1:19" x14ac:dyDescent="0.25">
      <c r="A182" s="6">
        <v>8</v>
      </c>
      <c r="B182" s="13" t="str">
        <f>Alumnos!B14</f>
        <v>Alumno 13</v>
      </c>
      <c r="C182" s="13"/>
      <c r="D182" s="13"/>
      <c r="E182" s="13"/>
      <c r="F182" s="13"/>
      <c r="G182" s="22"/>
      <c r="H182" s="27"/>
      <c r="I182" s="33"/>
      <c r="J182" s="33"/>
      <c r="K182" s="33"/>
      <c r="L182" s="33"/>
      <c r="M182" s="33"/>
      <c r="N182" s="6"/>
      <c r="O182" s="23" t="str">
        <f t="shared" si="6"/>
        <v>FALTA</v>
      </c>
      <c r="P182" s="6" t="str">
        <f t="shared" si="7"/>
        <v>OK</v>
      </c>
      <c r="Q182" s="12">
        <f>INDEX(Calendario!$B$5:$B$16,MATCH($A182,Calendario!$A$5:$A$16,0))</f>
        <v>46384</v>
      </c>
      <c r="R182" s="12">
        <f>INDEX(Calendario!$C$5:$C$16,MATCH($A182,Calendario!$A$5:$A$16,0))</f>
        <v>46397</v>
      </c>
      <c r="S182" s="6" t="str">
        <f t="shared" si="8"/>
        <v>28/12/YYYY - 29/12/YYYY</v>
      </c>
    </row>
    <row r="183" spans="1:19" x14ac:dyDescent="0.25">
      <c r="A183" s="6">
        <v>8</v>
      </c>
      <c r="B183" s="13" t="str">
        <f>Alumnos!B15</f>
        <v>Alumno 14</v>
      </c>
      <c r="C183" s="13"/>
      <c r="D183" s="13"/>
      <c r="E183" s="13"/>
      <c r="F183" s="13"/>
      <c r="G183" s="22"/>
      <c r="H183" s="27"/>
      <c r="I183" s="33"/>
      <c r="J183" s="33"/>
      <c r="K183" s="33"/>
      <c r="L183" s="33"/>
      <c r="M183" s="33"/>
      <c r="N183" s="6"/>
      <c r="O183" s="23" t="str">
        <f t="shared" si="6"/>
        <v>FALTA</v>
      </c>
      <c r="P183" s="6" t="str">
        <f t="shared" si="7"/>
        <v>OK</v>
      </c>
      <c r="Q183" s="12">
        <f>INDEX(Calendario!$B$5:$B$16,MATCH($A183,Calendario!$A$5:$A$16,0))</f>
        <v>46384</v>
      </c>
      <c r="R183" s="12">
        <f>INDEX(Calendario!$C$5:$C$16,MATCH($A183,Calendario!$A$5:$A$16,0))</f>
        <v>46397</v>
      </c>
      <c r="S183" s="6" t="str">
        <f t="shared" si="8"/>
        <v>28/12/YYYY - 29/12/YYYY</v>
      </c>
    </row>
    <row r="184" spans="1:19" x14ac:dyDescent="0.25">
      <c r="A184" s="6">
        <v>8</v>
      </c>
      <c r="B184" s="13" t="str">
        <f>Alumnos!B16</f>
        <v>Alumno 15</v>
      </c>
      <c r="C184" s="13"/>
      <c r="D184" s="13"/>
      <c r="E184" s="13"/>
      <c r="F184" s="13"/>
      <c r="G184" s="22"/>
      <c r="H184" s="27"/>
      <c r="I184" s="33"/>
      <c r="J184" s="33"/>
      <c r="K184" s="33"/>
      <c r="L184" s="33"/>
      <c r="M184" s="33"/>
      <c r="N184" s="6"/>
      <c r="O184" s="23" t="str">
        <f t="shared" si="6"/>
        <v>FALTA</v>
      </c>
      <c r="P184" s="6" t="str">
        <f t="shared" si="7"/>
        <v>OK</v>
      </c>
      <c r="Q184" s="12">
        <f>INDEX(Calendario!$B$5:$B$16,MATCH($A184,Calendario!$A$5:$A$16,0))</f>
        <v>46384</v>
      </c>
      <c r="R184" s="12">
        <f>INDEX(Calendario!$C$5:$C$16,MATCH($A184,Calendario!$A$5:$A$16,0))</f>
        <v>46397</v>
      </c>
      <c r="S184" s="6" t="str">
        <f t="shared" si="8"/>
        <v>28/12/YYYY - 29/12/YYYY</v>
      </c>
    </row>
    <row r="185" spans="1:19" x14ac:dyDescent="0.25">
      <c r="A185" s="6">
        <v>8</v>
      </c>
      <c r="B185" s="13" t="str">
        <f>Alumnos!B17</f>
        <v>Alumno 16</v>
      </c>
      <c r="C185" s="13"/>
      <c r="D185" s="13"/>
      <c r="E185" s="13"/>
      <c r="F185" s="13"/>
      <c r="G185" s="22"/>
      <c r="H185" s="27"/>
      <c r="I185" s="33"/>
      <c r="J185" s="33"/>
      <c r="K185" s="33"/>
      <c r="L185" s="33"/>
      <c r="M185" s="33"/>
      <c r="N185" s="6"/>
      <c r="O185" s="23" t="str">
        <f t="shared" si="6"/>
        <v>FALTA</v>
      </c>
      <c r="P185" s="6" t="str">
        <f t="shared" si="7"/>
        <v>OK</v>
      </c>
      <c r="Q185" s="12">
        <f>INDEX(Calendario!$B$5:$B$16,MATCH($A185,Calendario!$A$5:$A$16,0))</f>
        <v>46384</v>
      </c>
      <c r="R185" s="12">
        <f>INDEX(Calendario!$C$5:$C$16,MATCH($A185,Calendario!$A$5:$A$16,0))</f>
        <v>46397</v>
      </c>
      <c r="S185" s="6" t="str">
        <f t="shared" si="8"/>
        <v>28/12/YYYY - 29/12/YYYY</v>
      </c>
    </row>
    <row r="186" spans="1:19" x14ac:dyDescent="0.25">
      <c r="A186" s="6">
        <v>8</v>
      </c>
      <c r="B186" s="13" t="str">
        <f>Alumnos!B18</f>
        <v>Alumno 17</v>
      </c>
      <c r="C186" s="13"/>
      <c r="D186" s="13"/>
      <c r="E186" s="13"/>
      <c r="F186" s="13"/>
      <c r="G186" s="22"/>
      <c r="H186" s="27"/>
      <c r="I186" s="33"/>
      <c r="J186" s="33"/>
      <c r="K186" s="33"/>
      <c r="L186" s="33"/>
      <c r="M186" s="33"/>
      <c r="N186" s="6"/>
      <c r="O186" s="23" t="str">
        <f t="shared" si="6"/>
        <v>FALTA</v>
      </c>
      <c r="P186" s="6" t="str">
        <f t="shared" si="7"/>
        <v>OK</v>
      </c>
      <c r="Q186" s="12">
        <f>INDEX(Calendario!$B$5:$B$16,MATCH($A186,Calendario!$A$5:$A$16,0))</f>
        <v>46384</v>
      </c>
      <c r="R186" s="12">
        <f>INDEX(Calendario!$C$5:$C$16,MATCH($A186,Calendario!$A$5:$A$16,0))</f>
        <v>46397</v>
      </c>
      <c r="S186" s="6" t="str">
        <f t="shared" si="8"/>
        <v>28/12/YYYY - 29/12/YYYY</v>
      </c>
    </row>
    <row r="187" spans="1:19" x14ac:dyDescent="0.25">
      <c r="A187" s="6">
        <v>8</v>
      </c>
      <c r="B187" s="13" t="str">
        <f>Alumnos!B19</f>
        <v>Alumno 18</v>
      </c>
      <c r="C187" s="13"/>
      <c r="D187" s="13"/>
      <c r="E187" s="13"/>
      <c r="F187" s="13"/>
      <c r="G187" s="22"/>
      <c r="H187" s="27"/>
      <c r="I187" s="33"/>
      <c r="J187" s="33"/>
      <c r="K187" s="33"/>
      <c r="L187" s="33"/>
      <c r="M187" s="33"/>
      <c r="N187" s="6"/>
      <c r="O187" s="23" t="str">
        <f t="shared" si="6"/>
        <v>FALTA</v>
      </c>
      <c r="P187" s="6" t="str">
        <f t="shared" si="7"/>
        <v>OK</v>
      </c>
      <c r="Q187" s="12">
        <f>INDEX(Calendario!$B$5:$B$16,MATCH($A187,Calendario!$A$5:$A$16,0))</f>
        <v>46384</v>
      </c>
      <c r="R187" s="12">
        <f>INDEX(Calendario!$C$5:$C$16,MATCH($A187,Calendario!$A$5:$A$16,0))</f>
        <v>46397</v>
      </c>
      <c r="S187" s="6" t="str">
        <f t="shared" si="8"/>
        <v>28/12/YYYY - 29/12/YYYY</v>
      </c>
    </row>
    <row r="188" spans="1:19" x14ac:dyDescent="0.25">
      <c r="A188" s="6">
        <v>8</v>
      </c>
      <c r="B188" s="13" t="str">
        <f>Alumnos!B20</f>
        <v>Alumno 19</v>
      </c>
      <c r="C188" s="13"/>
      <c r="D188" s="13"/>
      <c r="E188" s="13"/>
      <c r="F188" s="13"/>
      <c r="G188" s="22"/>
      <c r="H188" s="27"/>
      <c r="I188" s="33"/>
      <c r="J188" s="33"/>
      <c r="K188" s="33"/>
      <c r="L188" s="33"/>
      <c r="M188" s="33"/>
      <c r="N188" s="6"/>
      <c r="O188" s="23" t="str">
        <f t="shared" si="6"/>
        <v>FALTA</v>
      </c>
      <c r="P188" s="6" t="str">
        <f t="shared" si="7"/>
        <v>OK</v>
      </c>
      <c r="Q188" s="12">
        <f>INDEX(Calendario!$B$5:$B$16,MATCH($A188,Calendario!$A$5:$A$16,0))</f>
        <v>46384</v>
      </c>
      <c r="R188" s="12">
        <f>INDEX(Calendario!$C$5:$C$16,MATCH($A188,Calendario!$A$5:$A$16,0))</f>
        <v>46397</v>
      </c>
      <c r="S188" s="6" t="str">
        <f t="shared" si="8"/>
        <v>28/12/YYYY - 29/12/YYYY</v>
      </c>
    </row>
    <row r="189" spans="1:19" x14ac:dyDescent="0.25">
      <c r="A189" s="6">
        <v>8</v>
      </c>
      <c r="B189" s="13" t="str">
        <f>Alumnos!B21</f>
        <v>Alumno 20</v>
      </c>
      <c r="C189" s="13"/>
      <c r="D189" s="13"/>
      <c r="E189" s="13"/>
      <c r="F189" s="13"/>
      <c r="G189" s="22"/>
      <c r="H189" s="27"/>
      <c r="I189" s="33"/>
      <c r="J189" s="33"/>
      <c r="K189" s="33"/>
      <c r="L189" s="33"/>
      <c r="M189" s="33"/>
      <c r="N189" s="6"/>
      <c r="O189" s="23" t="str">
        <f t="shared" si="6"/>
        <v>FALTA</v>
      </c>
      <c r="P189" s="6" t="str">
        <f t="shared" si="7"/>
        <v>OK</v>
      </c>
      <c r="Q189" s="12">
        <f>INDEX(Calendario!$B$5:$B$16,MATCH($A189,Calendario!$A$5:$A$16,0))</f>
        <v>46384</v>
      </c>
      <c r="R189" s="12">
        <f>INDEX(Calendario!$C$5:$C$16,MATCH($A189,Calendario!$A$5:$A$16,0))</f>
        <v>46397</v>
      </c>
      <c r="S189" s="6" t="str">
        <f t="shared" si="8"/>
        <v>28/12/YYYY - 29/12/YYYY</v>
      </c>
    </row>
    <row r="190" spans="1:19" x14ac:dyDescent="0.25">
      <c r="A190" s="6">
        <v>8</v>
      </c>
      <c r="B190" s="13" t="str">
        <f>Alumnos!B22</f>
        <v>Alumno 21</v>
      </c>
      <c r="C190" s="13"/>
      <c r="D190" s="13"/>
      <c r="E190" s="13"/>
      <c r="F190" s="13"/>
      <c r="G190" s="22"/>
      <c r="H190" s="27"/>
      <c r="I190" s="33"/>
      <c r="J190" s="33"/>
      <c r="K190" s="33"/>
      <c r="L190" s="33"/>
      <c r="M190" s="33"/>
      <c r="N190" s="6"/>
      <c r="O190" s="23" t="str">
        <f t="shared" si="6"/>
        <v>FALTA</v>
      </c>
      <c r="P190" s="6" t="str">
        <f t="shared" si="7"/>
        <v>OK</v>
      </c>
      <c r="Q190" s="12">
        <f>INDEX(Calendario!$B$5:$B$16,MATCH($A190,Calendario!$A$5:$A$16,0))</f>
        <v>46384</v>
      </c>
      <c r="R190" s="12">
        <f>INDEX(Calendario!$C$5:$C$16,MATCH($A190,Calendario!$A$5:$A$16,0))</f>
        <v>46397</v>
      </c>
      <c r="S190" s="6" t="str">
        <f t="shared" si="8"/>
        <v>28/12/YYYY - 29/12/YYYY</v>
      </c>
    </row>
    <row r="191" spans="1:19" x14ac:dyDescent="0.25">
      <c r="A191" s="6">
        <v>8</v>
      </c>
      <c r="B191" s="13" t="str">
        <f>Alumnos!B23</f>
        <v>Alumno 22</v>
      </c>
      <c r="C191" s="13"/>
      <c r="D191" s="13"/>
      <c r="E191" s="13"/>
      <c r="F191" s="13"/>
      <c r="G191" s="22"/>
      <c r="H191" s="27"/>
      <c r="I191" s="33"/>
      <c r="J191" s="33"/>
      <c r="K191" s="33"/>
      <c r="L191" s="33"/>
      <c r="M191" s="33"/>
      <c r="N191" s="6"/>
      <c r="O191" s="23" t="str">
        <f t="shared" si="6"/>
        <v>FALTA</v>
      </c>
      <c r="P191" s="6" t="str">
        <f t="shared" si="7"/>
        <v>OK</v>
      </c>
      <c r="Q191" s="12">
        <f>INDEX(Calendario!$B$5:$B$16,MATCH($A191,Calendario!$A$5:$A$16,0))</f>
        <v>46384</v>
      </c>
      <c r="R191" s="12">
        <f>INDEX(Calendario!$C$5:$C$16,MATCH($A191,Calendario!$A$5:$A$16,0))</f>
        <v>46397</v>
      </c>
      <c r="S191" s="6" t="str">
        <f t="shared" si="8"/>
        <v>28/12/YYYY - 29/12/YYYY</v>
      </c>
    </row>
    <row r="192" spans="1:19" x14ac:dyDescent="0.25">
      <c r="A192" s="6">
        <v>8</v>
      </c>
      <c r="B192" s="13" t="str">
        <f>Alumnos!B24</f>
        <v>Alumno 23</v>
      </c>
      <c r="C192" s="13"/>
      <c r="D192" s="13"/>
      <c r="E192" s="13"/>
      <c r="F192" s="13"/>
      <c r="G192" s="22"/>
      <c r="H192" s="27"/>
      <c r="I192" s="33"/>
      <c r="J192" s="33"/>
      <c r="K192" s="33"/>
      <c r="L192" s="33"/>
      <c r="M192" s="33"/>
      <c r="N192" s="6"/>
      <c r="O192" s="23" t="str">
        <f t="shared" si="6"/>
        <v>FALTA</v>
      </c>
      <c r="P192" s="6" t="str">
        <f t="shared" si="7"/>
        <v>OK</v>
      </c>
      <c r="Q192" s="12">
        <f>INDEX(Calendario!$B$5:$B$16,MATCH($A192,Calendario!$A$5:$A$16,0))</f>
        <v>46384</v>
      </c>
      <c r="R192" s="12">
        <f>INDEX(Calendario!$C$5:$C$16,MATCH($A192,Calendario!$A$5:$A$16,0))</f>
        <v>46397</v>
      </c>
      <c r="S192" s="6" t="str">
        <f t="shared" si="8"/>
        <v>28/12/YYYY - 29/12/YYYY</v>
      </c>
    </row>
    <row r="193" spans="1:19" x14ac:dyDescent="0.25">
      <c r="A193" s="6">
        <v>8</v>
      </c>
      <c r="B193" s="13" t="str">
        <f>Alumnos!B25</f>
        <v>Alumno 24</v>
      </c>
      <c r="C193" s="13"/>
      <c r="D193" s="13"/>
      <c r="E193" s="13"/>
      <c r="F193" s="13"/>
      <c r="G193" s="22"/>
      <c r="H193" s="27"/>
      <c r="I193" s="33"/>
      <c r="J193" s="33"/>
      <c r="K193" s="33"/>
      <c r="L193" s="33"/>
      <c r="M193" s="33"/>
      <c r="N193" s="6"/>
      <c r="O193" s="23" t="str">
        <f t="shared" si="6"/>
        <v>FALTA</v>
      </c>
      <c r="P193" s="6" t="str">
        <f t="shared" si="7"/>
        <v>OK</v>
      </c>
      <c r="Q193" s="12">
        <f>INDEX(Calendario!$B$5:$B$16,MATCH($A193,Calendario!$A$5:$A$16,0))</f>
        <v>46384</v>
      </c>
      <c r="R193" s="12">
        <f>INDEX(Calendario!$C$5:$C$16,MATCH($A193,Calendario!$A$5:$A$16,0))</f>
        <v>46397</v>
      </c>
      <c r="S193" s="6" t="str">
        <f t="shared" si="8"/>
        <v>28/12/YYYY - 29/12/YYYY</v>
      </c>
    </row>
    <row r="194" spans="1:19" x14ac:dyDescent="0.25">
      <c r="A194" s="20">
        <v>9</v>
      </c>
      <c r="B194" s="21" t="str">
        <f>Alumnos!B2</f>
        <v>Alumno 1</v>
      </c>
      <c r="C194" s="21"/>
      <c r="D194" s="21"/>
      <c r="E194" s="21"/>
      <c r="F194" s="21"/>
      <c r="G194" s="25"/>
      <c r="H194" s="28"/>
      <c r="I194" s="34"/>
      <c r="J194" s="34"/>
      <c r="K194" s="34"/>
      <c r="L194" s="34"/>
      <c r="M194" s="34"/>
      <c r="N194" s="20"/>
      <c r="O194" s="23" t="str">
        <f t="shared" ref="O194:O257" si="9">IF(OR($B194=$C194,$B194=$D194,$B194=$E194,$B194=$F194,$B194=$G194),"OK","FALTA")</f>
        <v>FALTA</v>
      </c>
      <c r="P194" s="6" t="str">
        <f t="shared" ref="P194:P257" si="10">IF(OR($H194=$C194,$H194=$D194,$H194=$E194,$H194=$F194,$H194=$G194),"OK","ERROR")</f>
        <v>OK</v>
      </c>
      <c r="Q194" s="12">
        <f>INDEX(Calendario!$B$5:$B$16,MATCH($A194,Calendario!$A$5:$A$16,0))</f>
        <v>46398</v>
      </c>
      <c r="R194" s="12">
        <f>INDEX(Calendario!$C$5:$C$16,MATCH($A194,Calendario!$A$5:$A$16,0))</f>
        <v>46411</v>
      </c>
      <c r="S194" s="6" t="str">
        <f t="shared" ref="S194:S257" si="11">TEXT(Q194,"DD/MM/YYYY")&amp;" - "&amp;TEXT(Q194+1,"DD/MM/YYYY")</f>
        <v>11/01/YYYY - 12/01/YYYY</v>
      </c>
    </row>
    <row r="195" spans="1:19" x14ac:dyDescent="0.25">
      <c r="A195" s="6">
        <v>9</v>
      </c>
      <c r="B195" s="13" t="str">
        <f>Alumnos!B3</f>
        <v>Alumno 2</v>
      </c>
      <c r="C195" s="13"/>
      <c r="D195" s="13"/>
      <c r="E195" s="13"/>
      <c r="F195" s="13"/>
      <c r="G195" s="22"/>
      <c r="H195" s="27"/>
      <c r="I195" s="33"/>
      <c r="J195" s="33"/>
      <c r="K195" s="33"/>
      <c r="L195" s="33"/>
      <c r="M195" s="33"/>
      <c r="N195" s="6"/>
      <c r="O195" s="23" t="str">
        <f t="shared" si="9"/>
        <v>FALTA</v>
      </c>
      <c r="P195" s="6" t="str">
        <f t="shared" si="10"/>
        <v>OK</v>
      </c>
      <c r="Q195" s="12">
        <f>INDEX(Calendario!$B$5:$B$16,MATCH($A195,Calendario!$A$5:$A$16,0))</f>
        <v>46398</v>
      </c>
      <c r="R195" s="12">
        <f>INDEX(Calendario!$C$5:$C$16,MATCH($A195,Calendario!$A$5:$A$16,0))</f>
        <v>46411</v>
      </c>
      <c r="S195" s="6" t="str">
        <f t="shared" si="11"/>
        <v>11/01/YYYY - 12/01/YYYY</v>
      </c>
    </row>
    <row r="196" spans="1:19" x14ac:dyDescent="0.25">
      <c r="A196" s="6">
        <v>9</v>
      </c>
      <c r="B196" s="13" t="str">
        <f>Alumnos!B4</f>
        <v>Alumno 3</v>
      </c>
      <c r="C196" s="13"/>
      <c r="D196" s="13"/>
      <c r="E196" s="13"/>
      <c r="F196" s="13"/>
      <c r="G196" s="22"/>
      <c r="H196" s="27"/>
      <c r="I196" s="33"/>
      <c r="J196" s="33"/>
      <c r="K196" s="33"/>
      <c r="L196" s="33"/>
      <c r="M196" s="33"/>
      <c r="N196" s="6"/>
      <c r="O196" s="23" t="str">
        <f t="shared" si="9"/>
        <v>FALTA</v>
      </c>
      <c r="P196" s="6" t="str">
        <f t="shared" si="10"/>
        <v>OK</v>
      </c>
      <c r="Q196" s="12">
        <f>INDEX(Calendario!$B$5:$B$16,MATCH($A196,Calendario!$A$5:$A$16,0))</f>
        <v>46398</v>
      </c>
      <c r="R196" s="12">
        <f>INDEX(Calendario!$C$5:$C$16,MATCH($A196,Calendario!$A$5:$A$16,0))</f>
        <v>46411</v>
      </c>
      <c r="S196" s="6" t="str">
        <f t="shared" si="11"/>
        <v>11/01/YYYY - 12/01/YYYY</v>
      </c>
    </row>
    <row r="197" spans="1:19" x14ac:dyDescent="0.25">
      <c r="A197" s="6">
        <v>9</v>
      </c>
      <c r="B197" s="13" t="str">
        <f>Alumnos!B5</f>
        <v>Alumno 4</v>
      </c>
      <c r="C197" s="13"/>
      <c r="D197" s="13"/>
      <c r="E197" s="13"/>
      <c r="F197" s="13"/>
      <c r="G197" s="22"/>
      <c r="H197" s="27"/>
      <c r="I197" s="33"/>
      <c r="J197" s="33"/>
      <c r="K197" s="33"/>
      <c r="L197" s="33"/>
      <c r="M197" s="33"/>
      <c r="N197" s="6"/>
      <c r="O197" s="23" t="str">
        <f t="shared" si="9"/>
        <v>FALTA</v>
      </c>
      <c r="P197" s="6" t="str">
        <f t="shared" si="10"/>
        <v>OK</v>
      </c>
      <c r="Q197" s="12">
        <f>INDEX(Calendario!$B$5:$B$16,MATCH($A197,Calendario!$A$5:$A$16,0))</f>
        <v>46398</v>
      </c>
      <c r="R197" s="12">
        <f>INDEX(Calendario!$C$5:$C$16,MATCH($A197,Calendario!$A$5:$A$16,0))</f>
        <v>46411</v>
      </c>
      <c r="S197" s="6" t="str">
        <f t="shared" si="11"/>
        <v>11/01/YYYY - 12/01/YYYY</v>
      </c>
    </row>
    <row r="198" spans="1:19" x14ac:dyDescent="0.25">
      <c r="A198" s="6">
        <v>9</v>
      </c>
      <c r="B198" s="13" t="str">
        <f>Alumnos!B6</f>
        <v>Alumno 5</v>
      </c>
      <c r="C198" s="13"/>
      <c r="D198" s="13"/>
      <c r="E198" s="13"/>
      <c r="F198" s="13"/>
      <c r="G198" s="22"/>
      <c r="H198" s="27"/>
      <c r="I198" s="33"/>
      <c r="J198" s="33"/>
      <c r="K198" s="33"/>
      <c r="L198" s="33"/>
      <c r="M198" s="33"/>
      <c r="N198" s="6"/>
      <c r="O198" s="23" t="str">
        <f t="shared" si="9"/>
        <v>FALTA</v>
      </c>
      <c r="P198" s="6" t="str">
        <f t="shared" si="10"/>
        <v>OK</v>
      </c>
      <c r="Q198" s="12">
        <f>INDEX(Calendario!$B$5:$B$16,MATCH($A198,Calendario!$A$5:$A$16,0))</f>
        <v>46398</v>
      </c>
      <c r="R198" s="12">
        <f>INDEX(Calendario!$C$5:$C$16,MATCH($A198,Calendario!$A$5:$A$16,0))</f>
        <v>46411</v>
      </c>
      <c r="S198" s="6" t="str">
        <f t="shared" si="11"/>
        <v>11/01/YYYY - 12/01/YYYY</v>
      </c>
    </row>
    <row r="199" spans="1:19" x14ac:dyDescent="0.25">
      <c r="A199" s="6">
        <v>9</v>
      </c>
      <c r="B199" s="13" t="str">
        <f>Alumnos!B7</f>
        <v>Alumno 6</v>
      </c>
      <c r="C199" s="13"/>
      <c r="D199" s="13"/>
      <c r="E199" s="13"/>
      <c r="F199" s="13"/>
      <c r="G199" s="22"/>
      <c r="H199" s="27"/>
      <c r="I199" s="33"/>
      <c r="J199" s="33"/>
      <c r="K199" s="33"/>
      <c r="L199" s="33"/>
      <c r="M199" s="33"/>
      <c r="N199" s="6"/>
      <c r="O199" s="23" t="str">
        <f t="shared" si="9"/>
        <v>FALTA</v>
      </c>
      <c r="P199" s="6" t="str">
        <f t="shared" si="10"/>
        <v>OK</v>
      </c>
      <c r="Q199" s="12">
        <f>INDEX(Calendario!$B$5:$B$16,MATCH($A199,Calendario!$A$5:$A$16,0))</f>
        <v>46398</v>
      </c>
      <c r="R199" s="12">
        <f>INDEX(Calendario!$C$5:$C$16,MATCH($A199,Calendario!$A$5:$A$16,0))</f>
        <v>46411</v>
      </c>
      <c r="S199" s="6" t="str">
        <f t="shared" si="11"/>
        <v>11/01/YYYY - 12/01/YYYY</v>
      </c>
    </row>
    <row r="200" spans="1:19" x14ac:dyDescent="0.25">
      <c r="A200" s="6">
        <v>9</v>
      </c>
      <c r="B200" s="13" t="str">
        <f>Alumnos!B8</f>
        <v>Alumno 7</v>
      </c>
      <c r="C200" s="13"/>
      <c r="D200" s="13"/>
      <c r="E200" s="13"/>
      <c r="F200" s="13"/>
      <c r="G200" s="22"/>
      <c r="H200" s="27"/>
      <c r="I200" s="33"/>
      <c r="J200" s="33"/>
      <c r="K200" s="33"/>
      <c r="L200" s="33"/>
      <c r="M200" s="33"/>
      <c r="N200" s="6"/>
      <c r="O200" s="23" t="str">
        <f t="shared" si="9"/>
        <v>FALTA</v>
      </c>
      <c r="P200" s="6" t="str">
        <f t="shared" si="10"/>
        <v>OK</v>
      </c>
      <c r="Q200" s="12">
        <f>INDEX(Calendario!$B$5:$B$16,MATCH($A200,Calendario!$A$5:$A$16,0))</f>
        <v>46398</v>
      </c>
      <c r="R200" s="12">
        <f>INDEX(Calendario!$C$5:$C$16,MATCH($A200,Calendario!$A$5:$A$16,0))</f>
        <v>46411</v>
      </c>
      <c r="S200" s="6" t="str">
        <f t="shared" si="11"/>
        <v>11/01/YYYY - 12/01/YYYY</v>
      </c>
    </row>
    <row r="201" spans="1:19" x14ac:dyDescent="0.25">
      <c r="A201" s="6">
        <v>9</v>
      </c>
      <c r="B201" s="13" t="str">
        <f>Alumnos!B9</f>
        <v>Alumno 8</v>
      </c>
      <c r="C201" s="13"/>
      <c r="D201" s="13"/>
      <c r="E201" s="13"/>
      <c r="F201" s="13"/>
      <c r="G201" s="22"/>
      <c r="H201" s="27"/>
      <c r="I201" s="33"/>
      <c r="J201" s="33"/>
      <c r="K201" s="33"/>
      <c r="L201" s="33"/>
      <c r="M201" s="33"/>
      <c r="N201" s="6"/>
      <c r="O201" s="23" t="str">
        <f t="shared" si="9"/>
        <v>FALTA</v>
      </c>
      <c r="P201" s="6" t="str">
        <f t="shared" si="10"/>
        <v>OK</v>
      </c>
      <c r="Q201" s="12">
        <f>INDEX(Calendario!$B$5:$B$16,MATCH($A201,Calendario!$A$5:$A$16,0))</f>
        <v>46398</v>
      </c>
      <c r="R201" s="12">
        <f>INDEX(Calendario!$C$5:$C$16,MATCH($A201,Calendario!$A$5:$A$16,0))</f>
        <v>46411</v>
      </c>
      <c r="S201" s="6" t="str">
        <f t="shared" si="11"/>
        <v>11/01/YYYY - 12/01/YYYY</v>
      </c>
    </row>
    <row r="202" spans="1:19" x14ac:dyDescent="0.25">
      <c r="A202" s="6">
        <v>9</v>
      </c>
      <c r="B202" s="13" t="str">
        <f>Alumnos!B10</f>
        <v>Alumno 9</v>
      </c>
      <c r="C202" s="13"/>
      <c r="D202" s="13"/>
      <c r="E202" s="13"/>
      <c r="F202" s="13"/>
      <c r="G202" s="22"/>
      <c r="H202" s="27"/>
      <c r="I202" s="33"/>
      <c r="J202" s="33"/>
      <c r="K202" s="33"/>
      <c r="L202" s="33"/>
      <c r="M202" s="33"/>
      <c r="N202" s="6"/>
      <c r="O202" s="23" t="str">
        <f t="shared" si="9"/>
        <v>FALTA</v>
      </c>
      <c r="P202" s="6" t="str">
        <f t="shared" si="10"/>
        <v>OK</v>
      </c>
      <c r="Q202" s="12">
        <f>INDEX(Calendario!$B$5:$B$16,MATCH($A202,Calendario!$A$5:$A$16,0))</f>
        <v>46398</v>
      </c>
      <c r="R202" s="12">
        <f>INDEX(Calendario!$C$5:$C$16,MATCH($A202,Calendario!$A$5:$A$16,0))</f>
        <v>46411</v>
      </c>
      <c r="S202" s="6" t="str">
        <f t="shared" si="11"/>
        <v>11/01/YYYY - 12/01/YYYY</v>
      </c>
    </row>
    <row r="203" spans="1:19" x14ac:dyDescent="0.25">
      <c r="A203" s="6">
        <v>9</v>
      </c>
      <c r="B203" s="13" t="str">
        <f>Alumnos!B11</f>
        <v>Alumno 10</v>
      </c>
      <c r="C203" s="13"/>
      <c r="D203" s="13"/>
      <c r="E203" s="13"/>
      <c r="F203" s="13"/>
      <c r="G203" s="22"/>
      <c r="H203" s="27"/>
      <c r="I203" s="33"/>
      <c r="J203" s="33"/>
      <c r="K203" s="33"/>
      <c r="L203" s="33"/>
      <c r="M203" s="33"/>
      <c r="N203" s="6"/>
      <c r="O203" s="23" t="str">
        <f t="shared" si="9"/>
        <v>FALTA</v>
      </c>
      <c r="P203" s="6" t="str">
        <f t="shared" si="10"/>
        <v>OK</v>
      </c>
      <c r="Q203" s="12">
        <f>INDEX(Calendario!$B$5:$B$16,MATCH($A203,Calendario!$A$5:$A$16,0))</f>
        <v>46398</v>
      </c>
      <c r="R203" s="12">
        <f>INDEX(Calendario!$C$5:$C$16,MATCH($A203,Calendario!$A$5:$A$16,0))</f>
        <v>46411</v>
      </c>
      <c r="S203" s="6" t="str">
        <f t="shared" si="11"/>
        <v>11/01/YYYY - 12/01/YYYY</v>
      </c>
    </row>
    <row r="204" spans="1:19" x14ac:dyDescent="0.25">
      <c r="A204" s="6">
        <v>9</v>
      </c>
      <c r="B204" s="13" t="str">
        <f>Alumnos!B12</f>
        <v>Alumno 11</v>
      </c>
      <c r="C204" s="13"/>
      <c r="D204" s="13"/>
      <c r="E204" s="13"/>
      <c r="F204" s="13"/>
      <c r="G204" s="22"/>
      <c r="H204" s="27"/>
      <c r="I204" s="33"/>
      <c r="J204" s="33"/>
      <c r="K204" s="33"/>
      <c r="L204" s="33"/>
      <c r="M204" s="33"/>
      <c r="N204" s="6"/>
      <c r="O204" s="23" t="str">
        <f t="shared" si="9"/>
        <v>FALTA</v>
      </c>
      <c r="P204" s="6" t="str">
        <f t="shared" si="10"/>
        <v>OK</v>
      </c>
      <c r="Q204" s="12">
        <f>INDEX(Calendario!$B$5:$B$16,MATCH($A204,Calendario!$A$5:$A$16,0))</f>
        <v>46398</v>
      </c>
      <c r="R204" s="12">
        <f>INDEX(Calendario!$C$5:$C$16,MATCH($A204,Calendario!$A$5:$A$16,0))</f>
        <v>46411</v>
      </c>
      <c r="S204" s="6" t="str">
        <f t="shared" si="11"/>
        <v>11/01/YYYY - 12/01/YYYY</v>
      </c>
    </row>
    <row r="205" spans="1:19" x14ac:dyDescent="0.25">
      <c r="A205" s="6">
        <v>9</v>
      </c>
      <c r="B205" s="13" t="str">
        <f>Alumnos!B13</f>
        <v>Alumno 12</v>
      </c>
      <c r="C205" s="13"/>
      <c r="D205" s="13"/>
      <c r="E205" s="13"/>
      <c r="F205" s="13"/>
      <c r="G205" s="22"/>
      <c r="H205" s="27"/>
      <c r="I205" s="33"/>
      <c r="J205" s="33"/>
      <c r="K205" s="33"/>
      <c r="L205" s="33"/>
      <c r="M205" s="33"/>
      <c r="N205" s="6"/>
      <c r="O205" s="23" t="str">
        <f t="shared" si="9"/>
        <v>FALTA</v>
      </c>
      <c r="P205" s="6" t="str">
        <f t="shared" si="10"/>
        <v>OK</v>
      </c>
      <c r="Q205" s="12">
        <f>INDEX(Calendario!$B$5:$B$16,MATCH($A205,Calendario!$A$5:$A$16,0))</f>
        <v>46398</v>
      </c>
      <c r="R205" s="12">
        <f>INDEX(Calendario!$C$5:$C$16,MATCH($A205,Calendario!$A$5:$A$16,0))</f>
        <v>46411</v>
      </c>
      <c r="S205" s="6" t="str">
        <f t="shared" si="11"/>
        <v>11/01/YYYY - 12/01/YYYY</v>
      </c>
    </row>
    <row r="206" spans="1:19" x14ac:dyDescent="0.25">
      <c r="A206" s="6">
        <v>9</v>
      </c>
      <c r="B206" s="13" t="str">
        <f>Alumnos!B14</f>
        <v>Alumno 13</v>
      </c>
      <c r="C206" s="13"/>
      <c r="D206" s="13"/>
      <c r="E206" s="13"/>
      <c r="F206" s="13"/>
      <c r="G206" s="22"/>
      <c r="H206" s="27"/>
      <c r="I206" s="33"/>
      <c r="J206" s="33"/>
      <c r="K206" s="33"/>
      <c r="L206" s="33"/>
      <c r="M206" s="33"/>
      <c r="N206" s="6"/>
      <c r="O206" s="23" t="str">
        <f t="shared" si="9"/>
        <v>FALTA</v>
      </c>
      <c r="P206" s="6" t="str">
        <f t="shared" si="10"/>
        <v>OK</v>
      </c>
      <c r="Q206" s="12">
        <f>INDEX(Calendario!$B$5:$B$16,MATCH($A206,Calendario!$A$5:$A$16,0))</f>
        <v>46398</v>
      </c>
      <c r="R206" s="12">
        <f>INDEX(Calendario!$C$5:$C$16,MATCH($A206,Calendario!$A$5:$A$16,0))</f>
        <v>46411</v>
      </c>
      <c r="S206" s="6" t="str">
        <f t="shared" si="11"/>
        <v>11/01/YYYY - 12/01/YYYY</v>
      </c>
    </row>
    <row r="207" spans="1:19" x14ac:dyDescent="0.25">
      <c r="A207" s="6">
        <v>9</v>
      </c>
      <c r="B207" s="13" t="str">
        <f>Alumnos!B15</f>
        <v>Alumno 14</v>
      </c>
      <c r="C207" s="13"/>
      <c r="D207" s="13"/>
      <c r="E207" s="13"/>
      <c r="F207" s="13"/>
      <c r="G207" s="22"/>
      <c r="H207" s="27"/>
      <c r="I207" s="33"/>
      <c r="J207" s="33"/>
      <c r="K207" s="33"/>
      <c r="L207" s="33"/>
      <c r="M207" s="33"/>
      <c r="N207" s="6"/>
      <c r="O207" s="23" t="str">
        <f t="shared" si="9"/>
        <v>FALTA</v>
      </c>
      <c r="P207" s="6" t="str">
        <f t="shared" si="10"/>
        <v>OK</v>
      </c>
      <c r="Q207" s="12">
        <f>INDEX(Calendario!$B$5:$B$16,MATCH($A207,Calendario!$A$5:$A$16,0))</f>
        <v>46398</v>
      </c>
      <c r="R207" s="12">
        <f>INDEX(Calendario!$C$5:$C$16,MATCH($A207,Calendario!$A$5:$A$16,0))</f>
        <v>46411</v>
      </c>
      <c r="S207" s="6" t="str">
        <f t="shared" si="11"/>
        <v>11/01/YYYY - 12/01/YYYY</v>
      </c>
    </row>
    <row r="208" spans="1:19" x14ac:dyDescent="0.25">
      <c r="A208" s="6">
        <v>9</v>
      </c>
      <c r="B208" s="13" t="str">
        <f>Alumnos!B16</f>
        <v>Alumno 15</v>
      </c>
      <c r="C208" s="13"/>
      <c r="D208" s="13"/>
      <c r="E208" s="13"/>
      <c r="F208" s="13"/>
      <c r="G208" s="22"/>
      <c r="H208" s="27"/>
      <c r="I208" s="33"/>
      <c r="J208" s="33"/>
      <c r="K208" s="33"/>
      <c r="L208" s="33"/>
      <c r="M208" s="33"/>
      <c r="N208" s="6"/>
      <c r="O208" s="23" t="str">
        <f t="shared" si="9"/>
        <v>FALTA</v>
      </c>
      <c r="P208" s="6" t="str">
        <f t="shared" si="10"/>
        <v>OK</v>
      </c>
      <c r="Q208" s="12">
        <f>INDEX(Calendario!$B$5:$B$16,MATCH($A208,Calendario!$A$5:$A$16,0))</f>
        <v>46398</v>
      </c>
      <c r="R208" s="12">
        <f>INDEX(Calendario!$C$5:$C$16,MATCH($A208,Calendario!$A$5:$A$16,0))</f>
        <v>46411</v>
      </c>
      <c r="S208" s="6" t="str">
        <f t="shared" si="11"/>
        <v>11/01/YYYY - 12/01/YYYY</v>
      </c>
    </row>
    <row r="209" spans="1:19" x14ac:dyDescent="0.25">
      <c r="A209" s="6">
        <v>9</v>
      </c>
      <c r="B209" s="13" t="str">
        <f>Alumnos!B17</f>
        <v>Alumno 16</v>
      </c>
      <c r="C209" s="13"/>
      <c r="D209" s="13"/>
      <c r="E209" s="13"/>
      <c r="F209" s="13"/>
      <c r="G209" s="22"/>
      <c r="H209" s="27"/>
      <c r="I209" s="33"/>
      <c r="J209" s="33"/>
      <c r="K209" s="33"/>
      <c r="L209" s="33"/>
      <c r="M209" s="33"/>
      <c r="N209" s="6"/>
      <c r="O209" s="23" t="str">
        <f t="shared" si="9"/>
        <v>FALTA</v>
      </c>
      <c r="P209" s="6" t="str">
        <f t="shared" si="10"/>
        <v>OK</v>
      </c>
      <c r="Q209" s="12">
        <f>INDEX(Calendario!$B$5:$B$16,MATCH($A209,Calendario!$A$5:$A$16,0))</f>
        <v>46398</v>
      </c>
      <c r="R209" s="12">
        <f>INDEX(Calendario!$C$5:$C$16,MATCH($A209,Calendario!$A$5:$A$16,0))</f>
        <v>46411</v>
      </c>
      <c r="S209" s="6" t="str">
        <f t="shared" si="11"/>
        <v>11/01/YYYY - 12/01/YYYY</v>
      </c>
    </row>
    <row r="210" spans="1:19" x14ac:dyDescent="0.25">
      <c r="A210" s="6">
        <v>9</v>
      </c>
      <c r="B210" s="13" t="str">
        <f>Alumnos!B18</f>
        <v>Alumno 17</v>
      </c>
      <c r="C210" s="13"/>
      <c r="D210" s="13"/>
      <c r="E210" s="13"/>
      <c r="F210" s="13"/>
      <c r="G210" s="22"/>
      <c r="H210" s="27"/>
      <c r="I210" s="33"/>
      <c r="J210" s="33"/>
      <c r="K210" s="33"/>
      <c r="L210" s="33"/>
      <c r="M210" s="33"/>
      <c r="N210" s="6"/>
      <c r="O210" s="23" t="str">
        <f t="shared" si="9"/>
        <v>FALTA</v>
      </c>
      <c r="P210" s="6" t="str">
        <f t="shared" si="10"/>
        <v>OK</v>
      </c>
      <c r="Q210" s="12">
        <f>INDEX(Calendario!$B$5:$B$16,MATCH($A210,Calendario!$A$5:$A$16,0))</f>
        <v>46398</v>
      </c>
      <c r="R210" s="12">
        <f>INDEX(Calendario!$C$5:$C$16,MATCH($A210,Calendario!$A$5:$A$16,0))</f>
        <v>46411</v>
      </c>
      <c r="S210" s="6" t="str">
        <f t="shared" si="11"/>
        <v>11/01/YYYY - 12/01/YYYY</v>
      </c>
    </row>
    <row r="211" spans="1:19" x14ac:dyDescent="0.25">
      <c r="A211" s="6">
        <v>9</v>
      </c>
      <c r="B211" s="13" t="str">
        <f>Alumnos!B19</f>
        <v>Alumno 18</v>
      </c>
      <c r="C211" s="13"/>
      <c r="D211" s="13"/>
      <c r="E211" s="13"/>
      <c r="F211" s="13"/>
      <c r="G211" s="22"/>
      <c r="H211" s="27"/>
      <c r="I211" s="33"/>
      <c r="J211" s="33"/>
      <c r="K211" s="33"/>
      <c r="L211" s="33"/>
      <c r="M211" s="33"/>
      <c r="N211" s="6"/>
      <c r="O211" s="23" t="str">
        <f t="shared" si="9"/>
        <v>FALTA</v>
      </c>
      <c r="P211" s="6" t="str">
        <f t="shared" si="10"/>
        <v>OK</v>
      </c>
      <c r="Q211" s="12">
        <f>INDEX(Calendario!$B$5:$B$16,MATCH($A211,Calendario!$A$5:$A$16,0))</f>
        <v>46398</v>
      </c>
      <c r="R211" s="12">
        <f>INDEX(Calendario!$C$5:$C$16,MATCH($A211,Calendario!$A$5:$A$16,0))</f>
        <v>46411</v>
      </c>
      <c r="S211" s="6" t="str">
        <f t="shared" si="11"/>
        <v>11/01/YYYY - 12/01/YYYY</v>
      </c>
    </row>
    <row r="212" spans="1:19" x14ac:dyDescent="0.25">
      <c r="A212" s="6">
        <v>9</v>
      </c>
      <c r="B212" s="13" t="str">
        <f>Alumnos!B20</f>
        <v>Alumno 19</v>
      </c>
      <c r="C212" s="13"/>
      <c r="D212" s="13"/>
      <c r="E212" s="13"/>
      <c r="F212" s="13"/>
      <c r="G212" s="22"/>
      <c r="H212" s="27"/>
      <c r="I212" s="33"/>
      <c r="J212" s="33"/>
      <c r="K212" s="33"/>
      <c r="L212" s="33"/>
      <c r="M212" s="33"/>
      <c r="N212" s="6"/>
      <c r="O212" s="23" t="str">
        <f t="shared" si="9"/>
        <v>FALTA</v>
      </c>
      <c r="P212" s="6" t="str">
        <f t="shared" si="10"/>
        <v>OK</v>
      </c>
      <c r="Q212" s="12">
        <f>INDEX(Calendario!$B$5:$B$16,MATCH($A212,Calendario!$A$5:$A$16,0))</f>
        <v>46398</v>
      </c>
      <c r="R212" s="12">
        <f>INDEX(Calendario!$C$5:$C$16,MATCH($A212,Calendario!$A$5:$A$16,0))</f>
        <v>46411</v>
      </c>
      <c r="S212" s="6" t="str">
        <f t="shared" si="11"/>
        <v>11/01/YYYY - 12/01/YYYY</v>
      </c>
    </row>
    <row r="213" spans="1:19" x14ac:dyDescent="0.25">
      <c r="A213" s="6">
        <v>9</v>
      </c>
      <c r="B213" s="13" t="str">
        <f>Alumnos!B21</f>
        <v>Alumno 20</v>
      </c>
      <c r="C213" s="13"/>
      <c r="D213" s="13"/>
      <c r="E213" s="13"/>
      <c r="F213" s="13"/>
      <c r="G213" s="22"/>
      <c r="H213" s="27"/>
      <c r="I213" s="33"/>
      <c r="J213" s="33"/>
      <c r="K213" s="33"/>
      <c r="L213" s="33"/>
      <c r="M213" s="33"/>
      <c r="N213" s="6"/>
      <c r="O213" s="23" t="str">
        <f t="shared" si="9"/>
        <v>FALTA</v>
      </c>
      <c r="P213" s="6" t="str">
        <f t="shared" si="10"/>
        <v>OK</v>
      </c>
      <c r="Q213" s="12">
        <f>INDEX(Calendario!$B$5:$B$16,MATCH($A213,Calendario!$A$5:$A$16,0))</f>
        <v>46398</v>
      </c>
      <c r="R213" s="12">
        <f>INDEX(Calendario!$C$5:$C$16,MATCH($A213,Calendario!$A$5:$A$16,0))</f>
        <v>46411</v>
      </c>
      <c r="S213" s="6" t="str">
        <f t="shared" si="11"/>
        <v>11/01/YYYY - 12/01/YYYY</v>
      </c>
    </row>
    <row r="214" spans="1:19" x14ac:dyDescent="0.25">
      <c r="A214" s="6">
        <v>9</v>
      </c>
      <c r="B214" s="13" t="str">
        <f>Alumnos!B22</f>
        <v>Alumno 21</v>
      </c>
      <c r="C214" s="13"/>
      <c r="D214" s="13"/>
      <c r="E214" s="13"/>
      <c r="F214" s="13"/>
      <c r="G214" s="22"/>
      <c r="H214" s="27"/>
      <c r="I214" s="33"/>
      <c r="J214" s="33"/>
      <c r="K214" s="33"/>
      <c r="L214" s="33"/>
      <c r="M214" s="33"/>
      <c r="N214" s="6"/>
      <c r="O214" s="23" t="str">
        <f t="shared" si="9"/>
        <v>FALTA</v>
      </c>
      <c r="P214" s="6" t="str">
        <f t="shared" si="10"/>
        <v>OK</v>
      </c>
      <c r="Q214" s="12">
        <f>INDEX(Calendario!$B$5:$B$16,MATCH($A214,Calendario!$A$5:$A$16,0))</f>
        <v>46398</v>
      </c>
      <c r="R214" s="12">
        <f>INDEX(Calendario!$C$5:$C$16,MATCH($A214,Calendario!$A$5:$A$16,0))</f>
        <v>46411</v>
      </c>
      <c r="S214" s="6" t="str">
        <f t="shared" si="11"/>
        <v>11/01/YYYY - 12/01/YYYY</v>
      </c>
    </row>
    <row r="215" spans="1:19" x14ac:dyDescent="0.25">
      <c r="A215" s="6">
        <v>9</v>
      </c>
      <c r="B215" s="13" t="str">
        <f>Alumnos!B23</f>
        <v>Alumno 22</v>
      </c>
      <c r="C215" s="13"/>
      <c r="D215" s="13"/>
      <c r="E215" s="13"/>
      <c r="F215" s="13"/>
      <c r="G215" s="22"/>
      <c r="H215" s="27"/>
      <c r="I215" s="33"/>
      <c r="J215" s="33"/>
      <c r="K215" s="33"/>
      <c r="L215" s="33"/>
      <c r="M215" s="33"/>
      <c r="N215" s="6"/>
      <c r="O215" s="23" t="str">
        <f t="shared" si="9"/>
        <v>FALTA</v>
      </c>
      <c r="P215" s="6" t="str">
        <f t="shared" si="10"/>
        <v>OK</v>
      </c>
      <c r="Q215" s="12">
        <f>INDEX(Calendario!$B$5:$B$16,MATCH($A215,Calendario!$A$5:$A$16,0))</f>
        <v>46398</v>
      </c>
      <c r="R215" s="12">
        <f>INDEX(Calendario!$C$5:$C$16,MATCH($A215,Calendario!$A$5:$A$16,0))</f>
        <v>46411</v>
      </c>
      <c r="S215" s="6" t="str">
        <f t="shared" si="11"/>
        <v>11/01/YYYY - 12/01/YYYY</v>
      </c>
    </row>
    <row r="216" spans="1:19" x14ac:dyDescent="0.25">
      <c r="A216" s="6">
        <v>9</v>
      </c>
      <c r="B216" s="13" t="str">
        <f>Alumnos!B24</f>
        <v>Alumno 23</v>
      </c>
      <c r="C216" s="13"/>
      <c r="D216" s="13"/>
      <c r="E216" s="13"/>
      <c r="F216" s="13"/>
      <c r="G216" s="22"/>
      <c r="H216" s="27"/>
      <c r="I216" s="33"/>
      <c r="J216" s="33"/>
      <c r="K216" s="33"/>
      <c r="L216" s="33"/>
      <c r="M216" s="33"/>
      <c r="N216" s="6"/>
      <c r="O216" s="23" t="str">
        <f t="shared" si="9"/>
        <v>FALTA</v>
      </c>
      <c r="P216" s="6" t="str">
        <f t="shared" si="10"/>
        <v>OK</v>
      </c>
      <c r="Q216" s="12">
        <f>INDEX(Calendario!$B$5:$B$16,MATCH($A216,Calendario!$A$5:$A$16,0))</f>
        <v>46398</v>
      </c>
      <c r="R216" s="12">
        <f>INDEX(Calendario!$C$5:$C$16,MATCH($A216,Calendario!$A$5:$A$16,0))</f>
        <v>46411</v>
      </c>
      <c r="S216" s="6" t="str">
        <f t="shared" si="11"/>
        <v>11/01/YYYY - 12/01/YYYY</v>
      </c>
    </row>
    <row r="217" spans="1:19" x14ac:dyDescent="0.25">
      <c r="A217" s="6">
        <v>9</v>
      </c>
      <c r="B217" s="13" t="str">
        <f>Alumnos!B25</f>
        <v>Alumno 24</v>
      </c>
      <c r="C217" s="13"/>
      <c r="D217" s="13"/>
      <c r="E217" s="13"/>
      <c r="F217" s="13"/>
      <c r="G217" s="22"/>
      <c r="H217" s="27"/>
      <c r="I217" s="33"/>
      <c r="J217" s="33"/>
      <c r="K217" s="33"/>
      <c r="L217" s="33"/>
      <c r="M217" s="33"/>
      <c r="N217" s="6"/>
      <c r="O217" s="23" t="str">
        <f t="shared" si="9"/>
        <v>FALTA</v>
      </c>
      <c r="P217" s="6" t="str">
        <f t="shared" si="10"/>
        <v>OK</v>
      </c>
      <c r="Q217" s="12">
        <f>INDEX(Calendario!$B$5:$B$16,MATCH($A217,Calendario!$A$5:$A$16,0))</f>
        <v>46398</v>
      </c>
      <c r="R217" s="12">
        <f>INDEX(Calendario!$C$5:$C$16,MATCH($A217,Calendario!$A$5:$A$16,0))</f>
        <v>46411</v>
      </c>
      <c r="S217" s="6" t="str">
        <f t="shared" si="11"/>
        <v>11/01/YYYY - 12/01/YYYY</v>
      </c>
    </row>
    <row r="218" spans="1:19" x14ac:dyDescent="0.25">
      <c r="A218" s="20">
        <v>10</v>
      </c>
      <c r="B218" s="21" t="str">
        <f>Alumnos!B2</f>
        <v>Alumno 1</v>
      </c>
      <c r="C218" s="21"/>
      <c r="D218" s="21"/>
      <c r="E218" s="21"/>
      <c r="F218" s="21"/>
      <c r="G218" s="25"/>
      <c r="H218" s="28"/>
      <c r="I218" s="34"/>
      <c r="J218" s="34"/>
      <c r="K218" s="34"/>
      <c r="L218" s="34"/>
      <c r="M218" s="34"/>
      <c r="N218" s="20"/>
      <c r="O218" s="23" t="str">
        <f t="shared" si="9"/>
        <v>FALTA</v>
      </c>
      <c r="P218" s="6" t="str">
        <f t="shared" si="10"/>
        <v>OK</v>
      </c>
      <c r="Q218" s="12">
        <f>INDEX(Calendario!$B$5:$B$16,MATCH($A218,Calendario!$A$5:$A$16,0))</f>
        <v>46412</v>
      </c>
      <c r="R218" s="12">
        <f>INDEX(Calendario!$C$5:$C$16,MATCH($A218,Calendario!$A$5:$A$16,0))</f>
        <v>46425</v>
      </c>
      <c r="S218" s="6" t="str">
        <f t="shared" si="11"/>
        <v>25/01/YYYY - 26/01/YYYY</v>
      </c>
    </row>
    <row r="219" spans="1:19" x14ac:dyDescent="0.25">
      <c r="A219" s="6">
        <v>10</v>
      </c>
      <c r="B219" s="13" t="str">
        <f>Alumnos!B3</f>
        <v>Alumno 2</v>
      </c>
      <c r="C219" s="13"/>
      <c r="D219" s="13"/>
      <c r="E219" s="13"/>
      <c r="F219" s="13"/>
      <c r="G219" s="22"/>
      <c r="H219" s="27"/>
      <c r="I219" s="33"/>
      <c r="J219" s="33"/>
      <c r="K219" s="33"/>
      <c r="L219" s="33"/>
      <c r="M219" s="33"/>
      <c r="N219" s="6"/>
      <c r="O219" s="23" t="str">
        <f t="shared" si="9"/>
        <v>FALTA</v>
      </c>
      <c r="P219" s="6" t="str">
        <f t="shared" si="10"/>
        <v>OK</v>
      </c>
      <c r="Q219" s="12">
        <f>INDEX(Calendario!$B$5:$B$16,MATCH($A219,Calendario!$A$5:$A$16,0))</f>
        <v>46412</v>
      </c>
      <c r="R219" s="12">
        <f>INDEX(Calendario!$C$5:$C$16,MATCH($A219,Calendario!$A$5:$A$16,0))</f>
        <v>46425</v>
      </c>
      <c r="S219" s="6" t="str">
        <f t="shared" si="11"/>
        <v>25/01/YYYY - 26/01/YYYY</v>
      </c>
    </row>
    <row r="220" spans="1:19" x14ac:dyDescent="0.25">
      <c r="A220" s="6">
        <v>10</v>
      </c>
      <c r="B220" s="13" t="str">
        <f>Alumnos!B4</f>
        <v>Alumno 3</v>
      </c>
      <c r="C220" s="13"/>
      <c r="D220" s="13"/>
      <c r="E220" s="13"/>
      <c r="F220" s="13"/>
      <c r="G220" s="22"/>
      <c r="H220" s="27"/>
      <c r="I220" s="33"/>
      <c r="J220" s="33"/>
      <c r="K220" s="33"/>
      <c r="L220" s="33"/>
      <c r="M220" s="33"/>
      <c r="N220" s="6"/>
      <c r="O220" s="23" t="str">
        <f t="shared" si="9"/>
        <v>FALTA</v>
      </c>
      <c r="P220" s="6" t="str">
        <f t="shared" si="10"/>
        <v>OK</v>
      </c>
      <c r="Q220" s="12">
        <f>INDEX(Calendario!$B$5:$B$16,MATCH($A220,Calendario!$A$5:$A$16,0))</f>
        <v>46412</v>
      </c>
      <c r="R220" s="12">
        <f>INDEX(Calendario!$C$5:$C$16,MATCH($A220,Calendario!$A$5:$A$16,0))</f>
        <v>46425</v>
      </c>
      <c r="S220" s="6" t="str">
        <f t="shared" si="11"/>
        <v>25/01/YYYY - 26/01/YYYY</v>
      </c>
    </row>
    <row r="221" spans="1:19" x14ac:dyDescent="0.25">
      <c r="A221" s="6">
        <v>10</v>
      </c>
      <c r="B221" s="13" t="str">
        <f>Alumnos!B5</f>
        <v>Alumno 4</v>
      </c>
      <c r="C221" s="13"/>
      <c r="D221" s="13"/>
      <c r="E221" s="13"/>
      <c r="F221" s="13"/>
      <c r="G221" s="22"/>
      <c r="H221" s="27"/>
      <c r="I221" s="33"/>
      <c r="J221" s="33"/>
      <c r="K221" s="33"/>
      <c r="L221" s="33"/>
      <c r="M221" s="33"/>
      <c r="N221" s="6"/>
      <c r="O221" s="23" t="str">
        <f t="shared" si="9"/>
        <v>FALTA</v>
      </c>
      <c r="P221" s="6" t="str">
        <f t="shared" si="10"/>
        <v>OK</v>
      </c>
      <c r="Q221" s="12">
        <f>INDEX(Calendario!$B$5:$B$16,MATCH($A221,Calendario!$A$5:$A$16,0))</f>
        <v>46412</v>
      </c>
      <c r="R221" s="12">
        <f>INDEX(Calendario!$C$5:$C$16,MATCH($A221,Calendario!$A$5:$A$16,0))</f>
        <v>46425</v>
      </c>
      <c r="S221" s="6" t="str">
        <f t="shared" si="11"/>
        <v>25/01/YYYY - 26/01/YYYY</v>
      </c>
    </row>
    <row r="222" spans="1:19" x14ac:dyDescent="0.25">
      <c r="A222" s="6">
        <v>10</v>
      </c>
      <c r="B222" s="13" t="str">
        <f>Alumnos!B6</f>
        <v>Alumno 5</v>
      </c>
      <c r="C222" s="13"/>
      <c r="D222" s="13"/>
      <c r="E222" s="13"/>
      <c r="F222" s="13"/>
      <c r="G222" s="22"/>
      <c r="H222" s="27"/>
      <c r="I222" s="33"/>
      <c r="J222" s="33"/>
      <c r="K222" s="33"/>
      <c r="L222" s="33"/>
      <c r="M222" s="33"/>
      <c r="N222" s="6"/>
      <c r="O222" s="23" t="str">
        <f t="shared" si="9"/>
        <v>FALTA</v>
      </c>
      <c r="P222" s="6" t="str">
        <f t="shared" si="10"/>
        <v>OK</v>
      </c>
      <c r="Q222" s="12">
        <f>INDEX(Calendario!$B$5:$B$16,MATCH($A222,Calendario!$A$5:$A$16,0))</f>
        <v>46412</v>
      </c>
      <c r="R222" s="12">
        <f>INDEX(Calendario!$C$5:$C$16,MATCH($A222,Calendario!$A$5:$A$16,0))</f>
        <v>46425</v>
      </c>
      <c r="S222" s="6" t="str">
        <f t="shared" si="11"/>
        <v>25/01/YYYY - 26/01/YYYY</v>
      </c>
    </row>
    <row r="223" spans="1:19" x14ac:dyDescent="0.25">
      <c r="A223" s="6">
        <v>10</v>
      </c>
      <c r="B223" s="13" t="str">
        <f>Alumnos!B7</f>
        <v>Alumno 6</v>
      </c>
      <c r="C223" s="13"/>
      <c r="D223" s="13"/>
      <c r="E223" s="13"/>
      <c r="F223" s="13"/>
      <c r="G223" s="22"/>
      <c r="H223" s="27"/>
      <c r="I223" s="33"/>
      <c r="J223" s="33"/>
      <c r="K223" s="33"/>
      <c r="L223" s="33"/>
      <c r="M223" s="33"/>
      <c r="N223" s="6"/>
      <c r="O223" s="23" t="str">
        <f t="shared" si="9"/>
        <v>FALTA</v>
      </c>
      <c r="P223" s="6" t="str">
        <f t="shared" si="10"/>
        <v>OK</v>
      </c>
      <c r="Q223" s="12">
        <f>INDEX(Calendario!$B$5:$B$16,MATCH($A223,Calendario!$A$5:$A$16,0))</f>
        <v>46412</v>
      </c>
      <c r="R223" s="12">
        <f>INDEX(Calendario!$C$5:$C$16,MATCH($A223,Calendario!$A$5:$A$16,0))</f>
        <v>46425</v>
      </c>
      <c r="S223" s="6" t="str">
        <f t="shared" si="11"/>
        <v>25/01/YYYY - 26/01/YYYY</v>
      </c>
    </row>
    <row r="224" spans="1:19" x14ac:dyDescent="0.25">
      <c r="A224" s="6">
        <v>10</v>
      </c>
      <c r="B224" s="13" t="str">
        <f>Alumnos!B8</f>
        <v>Alumno 7</v>
      </c>
      <c r="C224" s="13"/>
      <c r="D224" s="13"/>
      <c r="E224" s="13"/>
      <c r="F224" s="13"/>
      <c r="G224" s="22"/>
      <c r="H224" s="27"/>
      <c r="I224" s="33"/>
      <c r="J224" s="33"/>
      <c r="K224" s="33"/>
      <c r="L224" s="33"/>
      <c r="M224" s="33"/>
      <c r="N224" s="6"/>
      <c r="O224" s="23" t="str">
        <f t="shared" si="9"/>
        <v>FALTA</v>
      </c>
      <c r="P224" s="6" t="str">
        <f t="shared" si="10"/>
        <v>OK</v>
      </c>
      <c r="Q224" s="12">
        <f>INDEX(Calendario!$B$5:$B$16,MATCH($A224,Calendario!$A$5:$A$16,0))</f>
        <v>46412</v>
      </c>
      <c r="R224" s="12">
        <f>INDEX(Calendario!$C$5:$C$16,MATCH($A224,Calendario!$A$5:$A$16,0))</f>
        <v>46425</v>
      </c>
      <c r="S224" s="6" t="str">
        <f t="shared" si="11"/>
        <v>25/01/YYYY - 26/01/YYYY</v>
      </c>
    </row>
    <row r="225" spans="1:19" x14ac:dyDescent="0.25">
      <c r="A225" s="6">
        <v>10</v>
      </c>
      <c r="B225" s="13" t="str">
        <f>Alumnos!B9</f>
        <v>Alumno 8</v>
      </c>
      <c r="C225" s="13"/>
      <c r="D225" s="13"/>
      <c r="E225" s="13"/>
      <c r="F225" s="13"/>
      <c r="G225" s="22"/>
      <c r="H225" s="27"/>
      <c r="I225" s="33"/>
      <c r="J225" s="33"/>
      <c r="K225" s="33"/>
      <c r="L225" s="33"/>
      <c r="M225" s="33"/>
      <c r="N225" s="6"/>
      <c r="O225" s="23" t="str">
        <f t="shared" si="9"/>
        <v>FALTA</v>
      </c>
      <c r="P225" s="6" t="str">
        <f t="shared" si="10"/>
        <v>OK</v>
      </c>
      <c r="Q225" s="12">
        <f>INDEX(Calendario!$B$5:$B$16,MATCH($A225,Calendario!$A$5:$A$16,0))</f>
        <v>46412</v>
      </c>
      <c r="R225" s="12">
        <f>INDEX(Calendario!$C$5:$C$16,MATCH($A225,Calendario!$A$5:$A$16,0))</f>
        <v>46425</v>
      </c>
      <c r="S225" s="6" t="str">
        <f t="shared" si="11"/>
        <v>25/01/YYYY - 26/01/YYYY</v>
      </c>
    </row>
    <row r="226" spans="1:19" x14ac:dyDescent="0.25">
      <c r="A226" s="6">
        <v>10</v>
      </c>
      <c r="B226" s="13" t="str">
        <f>Alumnos!B10</f>
        <v>Alumno 9</v>
      </c>
      <c r="C226" s="13"/>
      <c r="D226" s="13"/>
      <c r="E226" s="13"/>
      <c r="F226" s="13"/>
      <c r="G226" s="22"/>
      <c r="H226" s="27"/>
      <c r="I226" s="33"/>
      <c r="J226" s="33"/>
      <c r="K226" s="33"/>
      <c r="L226" s="33"/>
      <c r="M226" s="33"/>
      <c r="N226" s="6"/>
      <c r="O226" s="23" t="str">
        <f t="shared" si="9"/>
        <v>FALTA</v>
      </c>
      <c r="P226" s="6" t="str">
        <f t="shared" si="10"/>
        <v>OK</v>
      </c>
      <c r="Q226" s="12">
        <f>INDEX(Calendario!$B$5:$B$16,MATCH($A226,Calendario!$A$5:$A$16,0))</f>
        <v>46412</v>
      </c>
      <c r="R226" s="12">
        <f>INDEX(Calendario!$C$5:$C$16,MATCH($A226,Calendario!$A$5:$A$16,0))</f>
        <v>46425</v>
      </c>
      <c r="S226" s="6" t="str">
        <f t="shared" si="11"/>
        <v>25/01/YYYY - 26/01/YYYY</v>
      </c>
    </row>
    <row r="227" spans="1:19" x14ac:dyDescent="0.25">
      <c r="A227" s="6">
        <v>10</v>
      </c>
      <c r="B227" s="13" t="str">
        <f>Alumnos!B11</f>
        <v>Alumno 10</v>
      </c>
      <c r="C227" s="13"/>
      <c r="D227" s="13"/>
      <c r="E227" s="13"/>
      <c r="F227" s="13"/>
      <c r="G227" s="22"/>
      <c r="H227" s="27"/>
      <c r="I227" s="33"/>
      <c r="J227" s="33"/>
      <c r="K227" s="33"/>
      <c r="L227" s="33"/>
      <c r="M227" s="33"/>
      <c r="N227" s="6"/>
      <c r="O227" s="23" t="str">
        <f t="shared" si="9"/>
        <v>FALTA</v>
      </c>
      <c r="P227" s="6" t="str">
        <f t="shared" si="10"/>
        <v>OK</v>
      </c>
      <c r="Q227" s="12">
        <f>INDEX(Calendario!$B$5:$B$16,MATCH($A227,Calendario!$A$5:$A$16,0))</f>
        <v>46412</v>
      </c>
      <c r="R227" s="12">
        <f>INDEX(Calendario!$C$5:$C$16,MATCH($A227,Calendario!$A$5:$A$16,0))</f>
        <v>46425</v>
      </c>
      <c r="S227" s="6" t="str">
        <f t="shared" si="11"/>
        <v>25/01/YYYY - 26/01/YYYY</v>
      </c>
    </row>
    <row r="228" spans="1:19" x14ac:dyDescent="0.25">
      <c r="A228" s="6">
        <v>10</v>
      </c>
      <c r="B228" s="13" t="str">
        <f>Alumnos!B12</f>
        <v>Alumno 11</v>
      </c>
      <c r="C228" s="13"/>
      <c r="D228" s="13"/>
      <c r="E228" s="13"/>
      <c r="F228" s="13"/>
      <c r="G228" s="22"/>
      <c r="H228" s="27"/>
      <c r="I228" s="33"/>
      <c r="J228" s="33"/>
      <c r="K228" s="33"/>
      <c r="L228" s="33"/>
      <c r="M228" s="33"/>
      <c r="N228" s="6"/>
      <c r="O228" s="23" t="str">
        <f t="shared" si="9"/>
        <v>FALTA</v>
      </c>
      <c r="P228" s="6" t="str">
        <f t="shared" si="10"/>
        <v>OK</v>
      </c>
      <c r="Q228" s="12">
        <f>INDEX(Calendario!$B$5:$B$16,MATCH($A228,Calendario!$A$5:$A$16,0))</f>
        <v>46412</v>
      </c>
      <c r="R228" s="12">
        <f>INDEX(Calendario!$C$5:$C$16,MATCH($A228,Calendario!$A$5:$A$16,0))</f>
        <v>46425</v>
      </c>
      <c r="S228" s="6" t="str">
        <f t="shared" si="11"/>
        <v>25/01/YYYY - 26/01/YYYY</v>
      </c>
    </row>
    <row r="229" spans="1:19" x14ac:dyDescent="0.25">
      <c r="A229" s="6">
        <v>10</v>
      </c>
      <c r="B229" s="13" t="str">
        <f>Alumnos!B13</f>
        <v>Alumno 12</v>
      </c>
      <c r="C229" s="13"/>
      <c r="D229" s="13"/>
      <c r="E229" s="13"/>
      <c r="F229" s="13"/>
      <c r="G229" s="22"/>
      <c r="H229" s="27"/>
      <c r="I229" s="33"/>
      <c r="J229" s="33"/>
      <c r="K229" s="33"/>
      <c r="L229" s="33"/>
      <c r="M229" s="33"/>
      <c r="N229" s="6"/>
      <c r="O229" s="23" t="str">
        <f t="shared" si="9"/>
        <v>FALTA</v>
      </c>
      <c r="P229" s="6" t="str">
        <f t="shared" si="10"/>
        <v>OK</v>
      </c>
      <c r="Q229" s="12">
        <f>INDEX(Calendario!$B$5:$B$16,MATCH($A229,Calendario!$A$5:$A$16,0))</f>
        <v>46412</v>
      </c>
      <c r="R229" s="12">
        <f>INDEX(Calendario!$C$5:$C$16,MATCH($A229,Calendario!$A$5:$A$16,0))</f>
        <v>46425</v>
      </c>
      <c r="S229" s="6" t="str">
        <f t="shared" si="11"/>
        <v>25/01/YYYY - 26/01/YYYY</v>
      </c>
    </row>
    <row r="230" spans="1:19" x14ac:dyDescent="0.25">
      <c r="A230" s="6">
        <v>10</v>
      </c>
      <c r="B230" s="13" t="str">
        <f>Alumnos!B14</f>
        <v>Alumno 13</v>
      </c>
      <c r="C230" s="13"/>
      <c r="D230" s="13"/>
      <c r="E230" s="13"/>
      <c r="F230" s="13"/>
      <c r="G230" s="22"/>
      <c r="H230" s="27"/>
      <c r="I230" s="33"/>
      <c r="J230" s="33"/>
      <c r="K230" s="33"/>
      <c r="L230" s="33"/>
      <c r="M230" s="33"/>
      <c r="N230" s="6"/>
      <c r="O230" s="23" t="str">
        <f t="shared" si="9"/>
        <v>FALTA</v>
      </c>
      <c r="P230" s="6" t="str">
        <f t="shared" si="10"/>
        <v>OK</v>
      </c>
      <c r="Q230" s="12">
        <f>INDEX(Calendario!$B$5:$B$16,MATCH($A230,Calendario!$A$5:$A$16,0))</f>
        <v>46412</v>
      </c>
      <c r="R230" s="12">
        <f>INDEX(Calendario!$C$5:$C$16,MATCH($A230,Calendario!$A$5:$A$16,0))</f>
        <v>46425</v>
      </c>
      <c r="S230" s="6" t="str">
        <f t="shared" si="11"/>
        <v>25/01/YYYY - 26/01/YYYY</v>
      </c>
    </row>
    <row r="231" spans="1:19" x14ac:dyDescent="0.25">
      <c r="A231" s="6">
        <v>10</v>
      </c>
      <c r="B231" s="13" t="str">
        <f>Alumnos!B15</f>
        <v>Alumno 14</v>
      </c>
      <c r="C231" s="13"/>
      <c r="D231" s="13"/>
      <c r="E231" s="13"/>
      <c r="F231" s="13"/>
      <c r="G231" s="22"/>
      <c r="H231" s="27"/>
      <c r="I231" s="33"/>
      <c r="J231" s="33"/>
      <c r="K231" s="33"/>
      <c r="L231" s="33"/>
      <c r="M231" s="33"/>
      <c r="N231" s="6"/>
      <c r="O231" s="23" t="str">
        <f t="shared" si="9"/>
        <v>FALTA</v>
      </c>
      <c r="P231" s="6" t="str">
        <f t="shared" si="10"/>
        <v>OK</v>
      </c>
      <c r="Q231" s="12">
        <f>INDEX(Calendario!$B$5:$B$16,MATCH($A231,Calendario!$A$5:$A$16,0))</f>
        <v>46412</v>
      </c>
      <c r="R231" s="12">
        <f>INDEX(Calendario!$C$5:$C$16,MATCH($A231,Calendario!$A$5:$A$16,0))</f>
        <v>46425</v>
      </c>
      <c r="S231" s="6" t="str">
        <f t="shared" si="11"/>
        <v>25/01/YYYY - 26/01/YYYY</v>
      </c>
    </row>
    <row r="232" spans="1:19" x14ac:dyDescent="0.25">
      <c r="A232" s="6">
        <v>10</v>
      </c>
      <c r="B232" s="13" t="str">
        <f>Alumnos!B16</f>
        <v>Alumno 15</v>
      </c>
      <c r="C232" s="13"/>
      <c r="D232" s="13"/>
      <c r="E232" s="13"/>
      <c r="F232" s="13"/>
      <c r="G232" s="22"/>
      <c r="H232" s="27"/>
      <c r="I232" s="33"/>
      <c r="J232" s="33"/>
      <c r="K232" s="33"/>
      <c r="L232" s="33"/>
      <c r="M232" s="33"/>
      <c r="N232" s="6"/>
      <c r="O232" s="23" t="str">
        <f t="shared" si="9"/>
        <v>FALTA</v>
      </c>
      <c r="P232" s="6" t="str">
        <f t="shared" si="10"/>
        <v>OK</v>
      </c>
      <c r="Q232" s="12">
        <f>INDEX(Calendario!$B$5:$B$16,MATCH($A232,Calendario!$A$5:$A$16,0))</f>
        <v>46412</v>
      </c>
      <c r="R232" s="12">
        <f>INDEX(Calendario!$C$5:$C$16,MATCH($A232,Calendario!$A$5:$A$16,0))</f>
        <v>46425</v>
      </c>
      <c r="S232" s="6" t="str">
        <f t="shared" si="11"/>
        <v>25/01/YYYY - 26/01/YYYY</v>
      </c>
    </row>
    <row r="233" spans="1:19" x14ac:dyDescent="0.25">
      <c r="A233" s="6">
        <v>10</v>
      </c>
      <c r="B233" s="13" t="str">
        <f>Alumnos!B17</f>
        <v>Alumno 16</v>
      </c>
      <c r="C233" s="13"/>
      <c r="D233" s="13"/>
      <c r="E233" s="13"/>
      <c r="F233" s="13"/>
      <c r="G233" s="22"/>
      <c r="H233" s="27"/>
      <c r="I233" s="33"/>
      <c r="J233" s="33"/>
      <c r="K233" s="33"/>
      <c r="L233" s="33"/>
      <c r="M233" s="33"/>
      <c r="N233" s="6"/>
      <c r="O233" s="23" t="str">
        <f t="shared" si="9"/>
        <v>FALTA</v>
      </c>
      <c r="P233" s="6" t="str">
        <f t="shared" si="10"/>
        <v>OK</v>
      </c>
      <c r="Q233" s="12">
        <f>INDEX(Calendario!$B$5:$B$16,MATCH($A233,Calendario!$A$5:$A$16,0))</f>
        <v>46412</v>
      </c>
      <c r="R233" s="12">
        <f>INDEX(Calendario!$C$5:$C$16,MATCH($A233,Calendario!$A$5:$A$16,0))</f>
        <v>46425</v>
      </c>
      <c r="S233" s="6" t="str">
        <f t="shared" si="11"/>
        <v>25/01/YYYY - 26/01/YYYY</v>
      </c>
    </row>
    <row r="234" spans="1:19" x14ac:dyDescent="0.25">
      <c r="A234" s="6">
        <v>10</v>
      </c>
      <c r="B234" s="13" t="str">
        <f>Alumnos!B18</f>
        <v>Alumno 17</v>
      </c>
      <c r="C234" s="13"/>
      <c r="D234" s="13"/>
      <c r="E234" s="13"/>
      <c r="F234" s="13"/>
      <c r="G234" s="22"/>
      <c r="H234" s="27"/>
      <c r="I234" s="33"/>
      <c r="J234" s="33"/>
      <c r="K234" s="33"/>
      <c r="L234" s="33"/>
      <c r="M234" s="33"/>
      <c r="N234" s="6"/>
      <c r="O234" s="23" t="str">
        <f t="shared" si="9"/>
        <v>FALTA</v>
      </c>
      <c r="P234" s="6" t="str">
        <f t="shared" si="10"/>
        <v>OK</v>
      </c>
      <c r="Q234" s="12">
        <f>INDEX(Calendario!$B$5:$B$16,MATCH($A234,Calendario!$A$5:$A$16,0))</f>
        <v>46412</v>
      </c>
      <c r="R234" s="12">
        <f>INDEX(Calendario!$C$5:$C$16,MATCH($A234,Calendario!$A$5:$A$16,0))</f>
        <v>46425</v>
      </c>
      <c r="S234" s="6" t="str">
        <f t="shared" si="11"/>
        <v>25/01/YYYY - 26/01/YYYY</v>
      </c>
    </row>
    <row r="235" spans="1:19" x14ac:dyDescent="0.25">
      <c r="A235" s="6">
        <v>10</v>
      </c>
      <c r="B235" s="13" t="str">
        <f>Alumnos!B19</f>
        <v>Alumno 18</v>
      </c>
      <c r="C235" s="13"/>
      <c r="D235" s="13"/>
      <c r="E235" s="13"/>
      <c r="F235" s="13"/>
      <c r="G235" s="22"/>
      <c r="H235" s="27"/>
      <c r="I235" s="33"/>
      <c r="J235" s="33"/>
      <c r="K235" s="33"/>
      <c r="L235" s="33"/>
      <c r="M235" s="33"/>
      <c r="N235" s="6"/>
      <c r="O235" s="23" t="str">
        <f t="shared" si="9"/>
        <v>FALTA</v>
      </c>
      <c r="P235" s="6" t="str">
        <f t="shared" si="10"/>
        <v>OK</v>
      </c>
      <c r="Q235" s="12">
        <f>INDEX(Calendario!$B$5:$B$16,MATCH($A235,Calendario!$A$5:$A$16,0))</f>
        <v>46412</v>
      </c>
      <c r="R235" s="12">
        <f>INDEX(Calendario!$C$5:$C$16,MATCH($A235,Calendario!$A$5:$A$16,0))</f>
        <v>46425</v>
      </c>
      <c r="S235" s="6" t="str">
        <f t="shared" si="11"/>
        <v>25/01/YYYY - 26/01/YYYY</v>
      </c>
    </row>
    <row r="236" spans="1:19" x14ac:dyDescent="0.25">
      <c r="A236" s="6">
        <v>10</v>
      </c>
      <c r="B236" s="13" t="str">
        <f>Alumnos!B20</f>
        <v>Alumno 19</v>
      </c>
      <c r="C236" s="13"/>
      <c r="D236" s="13"/>
      <c r="E236" s="13"/>
      <c r="F236" s="13"/>
      <c r="G236" s="22"/>
      <c r="H236" s="27"/>
      <c r="I236" s="33"/>
      <c r="J236" s="33"/>
      <c r="K236" s="33"/>
      <c r="L236" s="33"/>
      <c r="M236" s="33"/>
      <c r="N236" s="6"/>
      <c r="O236" s="23" t="str">
        <f t="shared" si="9"/>
        <v>FALTA</v>
      </c>
      <c r="P236" s="6" t="str">
        <f t="shared" si="10"/>
        <v>OK</v>
      </c>
      <c r="Q236" s="12">
        <f>INDEX(Calendario!$B$5:$B$16,MATCH($A236,Calendario!$A$5:$A$16,0))</f>
        <v>46412</v>
      </c>
      <c r="R236" s="12">
        <f>INDEX(Calendario!$C$5:$C$16,MATCH($A236,Calendario!$A$5:$A$16,0))</f>
        <v>46425</v>
      </c>
      <c r="S236" s="6" t="str">
        <f t="shared" si="11"/>
        <v>25/01/YYYY - 26/01/YYYY</v>
      </c>
    </row>
    <row r="237" spans="1:19" x14ac:dyDescent="0.25">
      <c r="A237" s="6">
        <v>10</v>
      </c>
      <c r="B237" s="13" t="str">
        <f>Alumnos!B21</f>
        <v>Alumno 20</v>
      </c>
      <c r="C237" s="13"/>
      <c r="D237" s="13"/>
      <c r="E237" s="13"/>
      <c r="F237" s="13"/>
      <c r="G237" s="22"/>
      <c r="H237" s="27"/>
      <c r="I237" s="33"/>
      <c r="J237" s="33"/>
      <c r="K237" s="33"/>
      <c r="L237" s="33"/>
      <c r="M237" s="33"/>
      <c r="N237" s="6"/>
      <c r="O237" s="23" t="str">
        <f t="shared" si="9"/>
        <v>FALTA</v>
      </c>
      <c r="P237" s="6" t="str">
        <f t="shared" si="10"/>
        <v>OK</v>
      </c>
      <c r="Q237" s="12">
        <f>INDEX(Calendario!$B$5:$B$16,MATCH($A237,Calendario!$A$5:$A$16,0))</f>
        <v>46412</v>
      </c>
      <c r="R237" s="12">
        <f>INDEX(Calendario!$C$5:$C$16,MATCH($A237,Calendario!$A$5:$A$16,0))</f>
        <v>46425</v>
      </c>
      <c r="S237" s="6" t="str">
        <f t="shared" si="11"/>
        <v>25/01/YYYY - 26/01/YYYY</v>
      </c>
    </row>
    <row r="238" spans="1:19" x14ac:dyDescent="0.25">
      <c r="A238" s="6">
        <v>10</v>
      </c>
      <c r="B238" s="13" t="str">
        <f>Alumnos!B22</f>
        <v>Alumno 21</v>
      </c>
      <c r="C238" s="13"/>
      <c r="D238" s="13"/>
      <c r="E238" s="13"/>
      <c r="F238" s="13"/>
      <c r="G238" s="22"/>
      <c r="H238" s="27"/>
      <c r="I238" s="33"/>
      <c r="J238" s="33"/>
      <c r="K238" s="33"/>
      <c r="L238" s="33"/>
      <c r="M238" s="33"/>
      <c r="N238" s="6"/>
      <c r="O238" s="23" t="str">
        <f t="shared" si="9"/>
        <v>FALTA</v>
      </c>
      <c r="P238" s="6" t="str">
        <f t="shared" si="10"/>
        <v>OK</v>
      </c>
      <c r="Q238" s="12">
        <f>INDEX(Calendario!$B$5:$B$16,MATCH($A238,Calendario!$A$5:$A$16,0))</f>
        <v>46412</v>
      </c>
      <c r="R238" s="12">
        <f>INDEX(Calendario!$C$5:$C$16,MATCH($A238,Calendario!$A$5:$A$16,0))</f>
        <v>46425</v>
      </c>
      <c r="S238" s="6" t="str">
        <f t="shared" si="11"/>
        <v>25/01/YYYY - 26/01/YYYY</v>
      </c>
    </row>
    <row r="239" spans="1:19" x14ac:dyDescent="0.25">
      <c r="A239" s="6">
        <v>10</v>
      </c>
      <c r="B239" s="13" t="str">
        <f>Alumnos!B23</f>
        <v>Alumno 22</v>
      </c>
      <c r="C239" s="13"/>
      <c r="D239" s="13"/>
      <c r="E239" s="13"/>
      <c r="F239" s="13"/>
      <c r="G239" s="22"/>
      <c r="H239" s="27"/>
      <c r="I239" s="33"/>
      <c r="J239" s="33"/>
      <c r="K239" s="33"/>
      <c r="L239" s="33"/>
      <c r="M239" s="33"/>
      <c r="N239" s="6"/>
      <c r="O239" s="23" t="str">
        <f t="shared" si="9"/>
        <v>FALTA</v>
      </c>
      <c r="P239" s="6" t="str">
        <f t="shared" si="10"/>
        <v>OK</v>
      </c>
      <c r="Q239" s="12">
        <f>INDEX(Calendario!$B$5:$B$16,MATCH($A239,Calendario!$A$5:$A$16,0))</f>
        <v>46412</v>
      </c>
      <c r="R239" s="12">
        <f>INDEX(Calendario!$C$5:$C$16,MATCH($A239,Calendario!$A$5:$A$16,0))</f>
        <v>46425</v>
      </c>
      <c r="S239" s="6" t="str">
        <f t="shared" si="11"/>
        <v>25/01/YYYY - 26/01/YYYY</v>
      </c>
    </row>
    <row r="240" spans="1:19" x14ac:dyDescent="0.25">
      <c r="A240" s="6">
        <v>10</v>
      </c>
      <c r="B240" s="13" t="str">
        <f>Alumnos!B24</f>
        <v>Alumno 23</v>
      </c>
      <c r="C240" s="13"/>
      <c r="D240" s="13"/>
      <c r="E240" s="13"/>
      <c r="F240" s="13"/>
      <c r="G240" s="22"/>
      <c r="H240" s="27"/>
      <c r="I240" s="33"/>
      <c r="J240" s="33"/>
      <c r="K240" s="33"/>
      <c r="L240" s="33"/>
      <c r="M240" s="33"/>
      <c r="N240" s="6"/>
      <c r="O240" s="23" t="str">
        <f t="shared" si="9"/>
        <v>FALTA</v>
      </c>
      <c r="P240" s="6" t="str">
        <f t="shared" si="10"/>
        <v>OK</v>
      </c>
      <c r="Q240" s="12">
        <f>INDEX(Calendario!$B$5:$B$16,MATCH($A240,Calendario!$A$5:$A$16,0))</f>
        <v>46412</v>
      </c>
      <c r="R240" s="12">
        <f>INDEX(Calendario!$C$5:$C$16,MATCH($A240,Calendario!$A$5:$A$16,0))</f>
        <v>46425</v>
      </c>
      <c r="S240" s="6" t="str">
        <f t="shared" si="11"/>
        <v>25/01/YYYY - 26/01/YYYY</v>
      </c>
    </row>
    <row r="241" spans="1:19" x14ac:dyDescent="0.25">
      <c r="A241" s="6">
        <v>10</v>
      </c>
      <c r="B241" s="13" t="str">
        <f>Alumnos!B25</f>
        <v>Alumno 24</v>
      </c>
      <c r="C241" s="13"/>
      <c r="D241" s="13"/>
      <c r="E241" s="13"/>
      <c r="F241" s="13"/>
      <c r="G241" s="22"/>
      <c r="H241" s="27"/>
      <c r="I241" s="33"/>
      <c r="J241" s="33"/>
      <c r="K241" s="33"/>
      <c r="L241" s="33"/>
      <c r="M241" s="33"/>
      <c r="N241" s="6"/>
      <c r="O241" s="23" t="str">
        <f t="shared" si="9"/>
        <v>FALTA</v>
      </c>
      <c r="P241" s="6" t="str">
        <f t="shared" si="10"/>
        <v>OK</v>
      </c>
      <c r="Q241" s="12">
        <f>INDEX(Calendario!$B$5:$B$16,MATCH($A241,Calendario!$A$5:$A$16,0))</f>
        <v>46412</v>
      </c>
      <c r="R241" s="12">
        <f>INDEX(Calendario!$C$5:$C$16,MATCH($A241,Calendario!$A$5:$A$16,0))</f>
        <v>46425</v>
      </c>
      <c r="S241" s="6" t="str">
        <f t="shared" si="11"/>
        <v>25/01/YYYY - 26/01/YYYY</v>
      </c>
    </row>
    <row r="242" spans="1:19" x14ac:dyDescent="0.25">
      <c r="A242" s="20">
        <v>11</v>
      </c>
      <c r="B242" s="21" t="str">
        <f>Alumnos!B2</f>
        <v>Alumno 1</v>
      </c>
      <c r="C242" s="21"/>
      <c r="D242" s="21"/>
      <c r="E242" s="21"/>
      <c r="F242" s="21"/>
      <c r="G242" s="25"/>
      <c r="H242" s="28"/>
      <c r="I242" s="34"/>
      <c r="J242" s="34"/>
      <c r="K242" s="34"/>
      <c r="L242" s="34"/>
      <c r="M242" s="34"/>
      <c r="N242" s="20"/>
      <c r="O242" s="23" t="str">
        <f t="shared" si="9"/>
        <v>FALTA</v>
      </c>
      <c r="P242" s="6" t="str">
        <f t="shared" si="10"/>
        <v>OK</v>
      </c>
      <c r="Q242" s="12">
        <f>INDEX(Calendario!$B$5:$B$16,MATCH($A242,Calendario!$A$5:$A$16,0))</f>
        <v>46426</v>
      </c>
      <c r="R242" s="12">
        <f>INDEX(Calendario!$C$5:$C$16,MATCH($A242,Calendario!$A$5:$A$16,0))</f>
        <v>46439</v>
      </c>
      <c r="S242" s="6" t="str">
        <f t="shared" si="11"/>
        <v>08/02/YYYY - 09/02/YYYY</v>
      </c>
    </row>
    <row r="243" spans="1:19" x14ac:dyDescent="0.25">
      <c r="A243" s="6">
        <v>11</v>
      </c>
      <c r="B243" s="13" t="str">
        <f>Alumnos!B3</f>
        <v>Alumno 2</v>
      </c>
      <c r="C243" s="13"/>
      <c r="D243" s="13"/>
      <c r="E243" s="13"/>
      <c r="F243" s="13"/>
      <c r="G243" s="22"/>
      <c r="H243" s="27"/>
      <c r="I243" s="33"/>
      <c r="J243" s="33"/>
      <c r="K243" s="33"/>
      <c r="L243" s="33"/>
      <c r="M243" s="33"/>
      <c r="N243" s="6"/>
      <c r="O243" s="23" t="str">
        <f t="shared" si="9"/>
        <v>FALTA</v>
      </c>
      <c r="P243" s="6" t="str">
        <f t="shared" si="10"/>
        <v>OK</v>
      </c>
      <c r="Q243" s="12">
        <f>INDEX(Calendario!$B$5:$B$16,MATCH($A243,Calendario!$A$5:$A$16,0))</f>
        <v>46426</v>
      </c>
      <c r="R243" s="12">
        <f>INDEX(Calendario!$C$5:$C$16,MATCH($A243,Calendario!$A$5:$A$16,0))</f>
        <v>46439</v>
      </c>
      <c r="S243" s="6" t="str">
        <f t="shared" si="11"/>
        <v>08/02/YYYY - 09/02/YYYY</v>
      </c>
    </row>
    <row r="244" spans="1:19" x14ac:dyDescent="0.25">
      <c r="A244" s="6">
        <v>11</v>
      </c>
      <c r="B244" s="13" t="str">
        <f>Alumnos!B4</f>
        <v>Alumno 3</v>
      </c>
      <c r="C244" s="13"/>
      <c r="D244" s="13"/>
      <c r="E244" s="13"/>
      <c r="F244" s="13"/>
      <c r="G244" s="22"/>
      <c r="H244" s="27"/>
      <c r="I244" s="33"/>
      <c r="J244" s="33"/>
      <c r="K244" s="33"/>
      <c r="L244" s="33"/>
      <c r="M244" s="33"/>
      <c r="N244" s="6"/>
      <c r="O244" s="23" t="str">
        <f t="shared" si="9"/>
        <v>FALTA</v>
      </c>
      <c r="P244" s="6" t="str">
        <f t="shared" si="10"/>
        <v>OK</v>
      </c>
      <c r="Q244" s="12">
        <f>INDEX(Calendario!$B$5:$B$16,MATCH($A244,Calendario!$A$5:$A$16,0))</f>
        <v>46426</v>
      </c>
      <c r="R244" s="12">
        <f>INDEX(Calendario!$C$5:$C$16,MATCH($A244,Calendario!$A$5:$A$16,0))</f>
        <v>46439</v>
      </c>
      <c r="S244" s="6" t="str">
        <f t="shared" si="11"/>
        <v>08/02/YYYY - 09/02/YYYY</v>
      </c>
    </row>
    <row r="245" spans="1:19" x14ac:dyDescent="0.25">
      <c r="A245" s="6">
        <v>11</v>
      </c>
      <c r="B245" s="13" t="str">
        <f>Alumnos!B5</f>
        <v>Alumno 4</v>
      </c>
      <c r="C245" s="13"/>
      <c r="D245" s="13"/>
      <c r="E245" s="13"/>
      <c r="F245" s="13"/>
      <c r="G245" s="22"/>
      <c r="H245" s="27"/>
      <c r="I245" s="33"/>
      <c r="J245" s="33"/>
      <c r="K245" s="33"/>
      <c r="L245" s="33"/>
      <c r="M245" s="33"/>
      <c r="N245" s="6"/>
      <c r="O245" s="23" t="str">
        <f t="shared" si="9"/>
        <v>FALTA</v>
      </c>
      <c r="P245" s="6" t="str">
        <f t="shared" si="10"/>
        <v>OK</v>
      </c>
      <c r="Q245" s="12">
        <f>INDEX(Calendario!$B$5:$B$16,MATCH($A245,Calendario!$A$5:$A$16,0))</f>
        <v>46426</v>
      </c>
      <c r="R245" s="12">
        <f>INDEX(Calendario!$C$5:$C$16,MATCH($A245,Calendario!$A$5:$A$16,0))</f>
        <v>46439</v>
      </c>
      <c r="S245" s="6" t="str">
        <f t="shared" si="11"/>
        <v>08/02/YYYY - 09/02/YYYY</v>
      </c>
    </row>
    <row r="246" spans="1:19" x14ac:dyDescent="0.25">
      <c r="A246" s="6">
        <v>11</v>
      </c>
      <c r="B246" s="13" t="str">
        <f>Alumnos!B6</f>
        <v>Alumno 5</v>
      </c>
      <c r="C246" s="13"/>
      <c r="D246" s="13"/>
      <c r="E246" s="13"/>
      <c r="F246" s="13"/>
      <c r="G246" s="22"/>
      <c r="H246" s="27"/>
      <c r="I246" s="33"/>
      <c r="J246" s="33"/>
      <c r="K246" s="33"/>
      <c r="L246" s="33"/>
      <c r="M246" s="33"/>
      <c r="N246" s="6"/>
      <c r="O246" s="23" t="str">
        <f t="shared" si="9"/>
        <v>FALTA</v>
      </c>
      <c r="P246" s="6" t="str">
        <f t="shared" si="10"/>
        <v>OK</v>
      </c>
      <c r="Q246" s="12">
        <f>INDEX(Calendario!$B$5:$B$16,MATCH($A246,Calendario!$A$5:$A$16,0))</f>
        <v>46426</v>
      </c>
      <c r="R246" s="12">
        <f>INDEX(Calendario!$C$5:$C$16,MATCH($A246,Calendario!$A$5:$A$16,0))</f>
        <v>46439</v>
      </c>
      <c r="S246" s="6" t="str">
        <f t="shared" si="11"/>
        <v>08/02/YYYY - 09/02/YYYY</v>
      </c>
    </row>
    <row r="247" spans="1:19" x14ac:dyDescent="0.25">
      <c r="A247" s="6">
        <v>11</v>
      </c>
      <c r="B247" s="13" t="str">
        <f>Alumnos!B7</f>
        <v>Alumno 6</v>
      </c>
      <c r="C247" s="13"/>
      <c r="D247" s="13"/>
      <c r="E247" s="13"/>
      <c r="F247" s="13"/>
      <c r="G247" s="22"/>
      <c r="H247" s="27"/>
      <c r="I247" s="33"/>
      <c r="J247" s="33"/>
      <c r="K247" s="33"/>
      <c r="L247" s="33"/>
      <c r="M247" s="33"/>
      <c r="N247" s="6"/>
      <c r="O247" s="23" t="str">
        <f t="shared" si="9"/>
        <v>FALTA</v>
      </c>
      <c r="P247" s="6" t="str">
        <f t="shared" si="10"/>
        <v>OK</v>
      </c>
      <c r="Q247" s="12">
        <f>INDEX(Calendario!$B$5:$B$16,MATCH($A247,Calendario!$A$5:$A$16,0))</f>
        <v>46426</v>
      </c>
      <c r="R247" s="12">
        <f>INDEX(Calendario!$C$5:$C$16,MATCH($A247,Calendario!$A$5:$A$16,0))</f>
        <v>46439</v>
      </c>
      <c r="S247" s="6" t="str">
        <f t="shared" si="11"/>
        <v>08/02/YYYY - 09/02/YYYY</v>
      </c>
    </row>
    <row r="248" spans="1:19" x14ac:dyDescent="0.25">
      <c r="A248" s="6">
        <v>11</v>
      </c>
      <c r="B248" s="13" t="str">
        <f>Alumnos!B8</f>
        <v>Alumno 7</v>
      </c>
      <c r="C248" s="13"/>
      <c r="D248" s="13"/>
      <c r="E248" s="13"/>
      <c r="F248" s="13"/>
      <c r="G248" s="22"/>
      <c r="H248" s="27"/>
      <c r="I248" s="33"/>
      <c r="J248" s="33"/>
      <c r="K248" s="33"/>
      <c r="L248" s="33"/>
      <c r="M248" s="33"/>
      <c r="N248" s="6"/>
      <c r="O248" s="23" t="str">
        <f t="shared" si="9"/>
        <v>FALTA</v>
      </c>
      <c r="P248" s="6" t="str">
        <f t="shared" si="10"/>
        <v>OK</v>
      </c>
      <c r="Q248" s="12">
        <f>INDEX(Calendario!$B$5:$B$16,MATCH($A248,Calendario!$A$5:$A$16,0))</f>
        <v>46426</v>
      </c>
      <c r="R248" s="12">
        <f>INDEX(Calendario!$C$5:$C$16,MATCH($A248,Calendario!$A$5:$A$16,0))</f>
        <v>46439</v>
      </c>
      <c r="S248" s="6" t="str">
        <f t="shared" si="11"/>
        <v>08/02/YYYY - 09/02/YYYY</v>
      </c>
    </row>
    <row r="249" spans="1:19" x14ac:dyDescent="0.25">
      <c r="A249" s="6">
        <v>11</v>
      </c>
      <c r="B249" s="13" t="str">
        <f>Alumnos!B9</f>
        <v>Alumno 8</v>
      </c>
      <c r="C249" s="13"/>
      <c r="D249" s="13"/>
      <c r="E249" s="13"/>
      <c r="F249" s="13"/>
      <c r="G249" s="22"/>
      <c r="H249" s="27"/>
      <c r="I249" s="33"/>
      <c r="J249" s="33"/>
      <c r="K249" s="33"/>
      <c r="L249" s="33"/>
      <c r="M249" s="33"/>
      <c r="N249" s="6"/>
      <c r="O249" s="23" t="str">
        <f t="shared" si="9"/>
        <v>FALTA</v>
      </c>
      <c r="P249" s="6" t="str">
        <f t="shared" si="10"/>
        <v>OK</v>
      </c>
      <c r="Q249" s="12">
        <f>INDEX(Calendario!$B$5:$B$16,MATCH($A249,Calendario!$A$5:$A$16,0))</f>
        <v>46426</v>
      </c>
      <c r="R249" s="12">
        <f>INDEX(Calendario!$C$5:$C$16,MATCH($A249,Calendario!$A$5:$A$16,0))</f>
        <v>46439</v>
      </c>
      <c r="S249" s="6" t="str">
        <f t="shared" si="11"/>
        <v>08/02/YYYY - 09/02/YYYY</v>
      </c>
    </row>
    <row r="250" spans="1:19" x14ac:dyDescent="0.25">
      <c r="A250" s="6">
        <v>11</v>
      </c>
      <c r="B250" s="13" t="str">
        <f>Alumnos!B10</f>
        <v>Alumno 9</v>
      </c>
      <c r="C250" s="13"/>
      <c r="D250" s="13"/>
      <c r="E250" s="13"/>
      <c r="F250" s="13"/>
      <c r="G250" s="22"/>
      <c r="H250" s="27"/>
      <c r="I250" s="33"/>
      <c r="J250" s="33"/>
      <c r="K250" s="33"/>
      <c r="L250" s="33"/>
      <c r="M250" s="33"/>
      <c r="N250" s="6"/>
      <c r="O250" s="23" t="str">
        <f t="shared" si="9"/>
        <v>FALTA</v>
      </c>
      <c r="P250" s="6" t="str">
        <f t="shared" si="10"/>
        <v>OK</v>
      </c>
      <c r="Q250" s="12">
        <f>INDEX(Calendario!$B$5:$B$16,MATCH($A250,Calendario!$A$5:$A$16,0))</f>
        <v>46426</v>
      </c>
      <c r="R250" s="12">
        <f>INDEX(Calendario!$C$5:$C$16,MATCH($A250,Calendario!$A$5:$A$16,0))</f>
        <v>46439</v>
      </c>
      <c r="S250" s="6" t="str">
        <f t="shared" si="11"/>
        <v>08/02/YYYY - 09/02/YYYY</v>
      </c>
    </row>
    <row r="251" spans="1:19" x14ac:dyDescent="0.25">
      <c r="A251" s="6">
        <v>11</v>
      </c>
      <c r="B251" s="13" t="str">
        <f>Alumnos!B11</f>
        <v>Alumno 10</v>
      </c>
      <c r="C251" s="13"/>
      <c r="D251" s="13"/>
      <c r="E251" s="13"/>
      <c r="F251" s="13"/>
      <c r="G251" s="22"/>
      <c r="H251" s="27"/>
      <c r="I251" s="33"/>
      <c r="J251" s="33"/>
      <c r="K251" s="33"/>
      <c r="L251" s="33"/>
      <c r="M251" s="33"/>
      <c r="N251" s="6"/>
      <c r="O251" s="23" t="str">
        <f t="shared" si="9"/>
        <v>FALTA</v>
      </c>
      <c r="P251" s="6" t="str">
        <f t="shared" si="10"/>
        <v>OK</v>
      </c>
      <c r="Q251" s="12">
        <f>INDEX(Calendario!$B$5:$B$16,MATCH($A251,Calendario!$A$5:$A$16,0))</f>
        <v>46426</v>
      </c>
      <c r="R251" s="12">
        <f>INDEX(Calendario!$C$5:$C$16,MATCH($A251,Calendario!$A$5:$A$16,0))</f>
        <v>46439</v>
      </c>
      <c r="S251" s="6" t="str">
        <f t="shared" si="11"/>
        <v>08/02/YYYY - 09/02/YYYY</v>
      </c>
    </row>
    <row r="252" spans="1:19" x14ac:dyDescent="0.25">
      <c r="A252" s="6">
        <v>11</v>
      </c>
      <c r="B252" s="13" t="str">
        <f>Alumnos!B12</f>
        <v>Alumno 11</v>
      </c>
      <c r="C252" s="13"/>
      <c r="D252" s="13"/>
      <c r="E252" s="13"/>
      <c r="F252" s="13"/>
      <c r="G252" s="22"/>
      <c r="H252" s="27"/>
      <c r="I252" s="33"/>
      <c r="J252" s="33"/>
      <c r="K252" s="33"/>
      <c r="L252" s="33"/>
      <c r="M252" s="33"/>
      <c r="N252" s="6"/>
      <c r="O252" s="23" t="str">
        <f t="shared" si="9"/>
        <v>FALTA</v>
      </c>
      <c r="P252" s="6" t="str">
        <f t="shared" si="10"/>
        <v>OK</v>
      </c>
      <c r="Q252" s="12">
        <f>INDEX(Calendario!$B$5:$B$16,MATCH($A252,Calendario!$A$5:$A$16,0))</f>
        <v>46426</v>
      </c>
      <c r="R252" s="12">
        <f>INDEX(Calendario!$C$5:$C$16,MATCH($A252,Calendario!$A$5:$A$16,0))</f>
        <v>46439</v>
      </c>
      <c r="S252" s="6" t="str">
        <f t="shared" si="11"/>
        <v>08/02/YYYY - 09/02/YYYY</v>
      </c>
    </row>
    <row r="253" spans="1:19" x14ac:dyDescent="0.25">
      <c r="A253" s="6">
        <v>11</v>
      </c>
      <c r="B253" s="13" t="str">
        <f>Alumnos!B13</f>
        <v>Alumno 12</v>
      </c>
      <c r="C253" s="13"/>
      <c r="D253" s="13"/>
      <c r="E253" s="13"/>
      <c r="F253" s="13"/>
      <c r="G253" s="22"/>
      <c r="H253" s="27"/>
      <c r="I253" s="33"/>
      <c r="J253" s="33"/>
      <c r="K253" s="33"/>
      <c r="L253" s="33"/>
      <c r="M253" s="33"/>
      <c r="N253" s="6"/>
      <c r="O253" s="23" t="str">
        <f t="shared" si="9"/>
        <v>FALTA</v>
      </c>
      <c r="P253" s="6" t="str">
        <f t="shared" si="10"/>
        <v>OK</v>
      </c>
      <c r="Q253" s="12">
        <f>INDEX(Calendario!$B$5:$B$16,MATCH($A253,Calendario!$A$5:$A$16,0))</f>
        <v>46426</v>
      </c>
      <c r="R253" s="12">
        <f>INDEX(Calendario!$C$5:$C$16,MATCH($A253,Calendario!$A$5:$A$16,0))</f>
        <v>46439</v>
      </c>
      <c r="S253" s="6" t="str">
        <f t="shared" si="11"/>
        <v>08/02/YYYY - 09/02/YYYY</v>
      </c>
    </row>
    <row r="254" spans="1:19" x14ac:dyDescent="0.25">
      <c r="A254" s="6">
        <v>11</v>
      </c>
      <c r="B254" s="13" t="str">
        <f>Alumnos!B14</f>
        <v>Alumno 13</v>
      </c>
      <c r="C254" s="13"/>
      <c r="D254" s="13"/>
      <c r="E254" s="13"/>
      <c r="F254" s="13"/>
      <c r="G254" s="22"/>
      <c r="H254" s="27"/>
      <c r="I254" s="33"/>
      <c r="J254" s="33"/>
      <c r="K254" s="33"/>
      <c r="L254" s="33"/>
      <c r="M254" s="33"/>
      <c r="N254" s="6"/>
      <c r="O254" s="23" t="str">
        <f t="shared" si="9"/>
        <v>FALTA</v>
      </c>
      <c r="P254" s="6" t="str">
        <f t="shared" si="10"/>
        <v>OK</v>
      </c>
      <c r="Q254" s="12">
        <f>INDEX(Calendario!$B$5:$B$16,MATCH($A254,Calendario!$A$5:$A$16,0))</f>
        <v>46426</v>
      </c>
      <c r="R254" s="12">
        <f>INDEX(Calendario!$C$5:$C$16,MATCH($A254,Calendario!$A$5:$A$16,0))</f>
        <v>46439</v>
      </c>
      <c r="S254" s="6" t="str">
        <f t="shared" si="11"/>
        <v>08/02/YYYY - 09/02/YYYY</v>
      </c>
    </row>
    <row r="255" spans="1:19" x14ac:dyDescent="0.25">
      <c r="A255" s="6">
        <v>11</v>
      </c>
      <c r="B255" s="13" t="str">
        <f>Alumnos!B15</f>
        <v>Alumno 14</v>
      </c>
      <c r="C255" s="13"/>
      <c r="D255" s="13"/>
      <c r="E255" s="13"/>
      <c r="F255" s="13"/>
      <c r="G255" s="22"/>
      <c r="H255" s="27"/>
      <c r="I255" s="33"/>
      <c r="J255" s="33"/>
      <c r="K255" s="33"/>
      <c r="L255" s="33"/>
      <c r="M255" s="33"/>
      <c r="N255" s="6"/>
      <c r="O255" s="23" t="str">
        <f t="shared" si="9"/>
        <v>FALTA</v>
      </c>
      <c r="P255" s="6" t="str">
        <f t="shared" si="10"/>
        <v>OK</v>
      </c>
      <c r="Q255" s="12">
        <f>INDEX(Calendario!$B$5:$B$16,MATCH($A255,Calendario!$A$5:$A$16,0))</f>
        <v>46426</v>
      </c>
      <c r="R255" s="12">
        <f>INDEX(Calendario!$C$5:$C$16,MATCH($A255,Calendario!$A$5:$A$16,0))</f>
        <v>46439</v>
      </c>
      <c r="S255" s="6" t="str">
        <f t="shared" si="11"/>
        <v>08/02/YYYY - 09/02/YYYY</v>
      </c>
    </row>
    <row r="256" spans="1:19" x14ac:dyDescent="0.25">
      <c r="A256" s="6">
        <v>11</v>
      </c>
      <c r="B256" s="13" t="str">
        <f>Alumnos!B16</f>
        <v>Alumno 15</v>
      </c>
      <c r="C256" s="13"/>
      <c r="D256" s="13"/>
      <c r="E256" s="13"/>
      <c r="F256" s="13"/>
      <c r="G256" s="22"/>
      <c r="H256" s="27"/>
      <c r="I256" s="33"/>
      <c r="J256" s="33"/>
      <c r="K256" s="33"/>
      <c r="L256" s="33"/>
      <c r="M256" s="33"/>
      <c r="N256" s="6"/>
      <c r="O256" s="23" t="str">
        <f t="shared" si="9"/>
        <v>FALTA</v>
      </c>
      <c r="P256" s="6" t="str">
        <f t="shared" si="10"/>
        <v>OK</v>
      </c>
      <c r="Q256" s="12">
        <f>INDEX(Calendario!$B$5:$B$16,MATCH($A256,Calendario!$A$5:$A$16,0))</f>
        <v>46426</v>
      </c>
      <c r="R256" s="12">
        <f>INDEX(Calendario!$C$5:$C$16,MATCH($A256,Calendario!$A$5:$A$16,0))</f>
        <v>46439</v>
      </c>
      <c r="S256" s="6" t="str">
        <f t="shared" si="11"/>
        <v>08/02/YYYY - 09/02/YYYY</v>
      </c>
    </row>
    <row r="257" spans="1:19" x14ac:dyDescent="0.25">
      <c r="A257" s="6">
        <v>11</v>
      </c>
      <c r="B257" s="13" t="str">
        <f>Alumnos!B17</f>
        <v>Alumno 16</v>
      </c>
      <c r="C257" s="13"/>
      <c r="D257" s="13"/>
      <c r="E257" s="13"/>
      <c r="F257" s="13"/>
      <c r="G257" s="22"/>
      <c r="H257" s="27"/>
      <c r="I257" s="33"/>
      <c r="J257" s="33"/>
      <c r="K257" s="33"/>
      <c r="L257" s="33"/>
      <c r="M257" s="33"/>
      <c r="N257" s="6"/>
      <c r="O257" s="23" t="str">
        <f t="shared" si="9"/>
        <v>FALTA</v>
      </c>
      <c r="P257" s="6" t="str">
        <f t="shared" si="10"/>
        <v>OK</v>
      </c>
      <c r="Q257" s="12">
        <f>INDEX(Calendario!$B$5:$B$16,MATCH($A257,Calendario!$A$5:$A$16,0))</f>
        <v>46426</v>
      </c>
      <c r="R257" s="12">
        <f>INDEX(Calendario!$C$5:$C$16,MATCH($A257,Calendario!$A$5:$A$16,0))</f>
        <v>46439</v>
      </c>
      <c r="S257" s="6" t="str">
        <f t="shared" si="11"/>
        <v>08/02/YYYY - 09/02/YYYY</v>
      </c>
    </row>
    <row r="258" spans="1:19" x14ac:dyDescent="0.25">
      <c r="A258" s="6">
        <v>11</v>
      </c>
      <c r="B258" s="13" t="str">
        <f>Alumnos!B18</f>
        <v>Alumno 17</v>
      </c>
      <c r="C258" s="13"/>
      <c r="D258" s="13"/>
      <c r="E258" s="13"/>
      <c r="F258" s="13"/>
      <c r="G258" s="22"/>
      <c r="H258" s="27"/>
      <c r="I258" s="33"/>
      <c r="J258" s="33"/>
      <c r="K258" s="33"/>
      <c r="L258" s="33"/>
      <c r="M258" s="33"/>
      <c r="N258" s="6"/>
      <c r="O258" s="23" t="str">
        <f t="shared" ref="O258:O289" si="12">IF(OR($B258=$C258,$B258=$D258,$B258=$E258,$B258=$F258,$B258=$G258),"OK","FALTA")</f>
        <v>FALTA</v>
      </c>
      <c r="P258" s="6" t="str">
        <f t="shared" ref="P258:P289" si="13">IF(OR($H258=$C258,$H258=$D258,$H258=$E258,$H258=$F258,$H258=$G258),"OK","ERROR")</f>
        <v>OK</v>
      </c>
      <c r="Q258" s="12">
        <f>INDEX(Calendario!$B$5:$B$16,MATCH($A258,Calendario!$A$5:$A$16,0))</f>
        <v>46426</v>
      </c>
      <c r="R258" s="12">
        <f>INDEX(Calendario!$C$5:$C$16,MATCH($A258,Calendario!$A$5:$A$16,0))</f>
        <v>46439</v>
      </c>
      <c r="S258" s="6" t="str">
        <f t="shared" ref="S258:S289" si="14">TEXT(Q258,"DD/MM/YYYY")&amp;" - "&amp;TEXT(Q258+1,"DD/MM/YYYY")</f>
        <v>08/02/YYYY - 09/02/YYYY</v>
      </c>
    </row>
    <row r="259" spans="1:19" x14ac:dyDescent="0.25">
      <c r="A259" s="6">
        <v>11</v>
      </c>
      <c r="B259" s="13" t="str">
        <f>Alumnos!B19</f>
        <v>Alumno 18</v>
      </c>
      <c r="C259" s="13"/>
      <c r="D259" s="13"/>
      <c r="E259" s="13"/>
      <c r="F259" s="13"/>
      <c r="G259" s="22"/>
      <c r="H259" s="27"/>
      <c r="I259" s="33"/>
      <c r="J259" s="33"/>
      <c r="K259" s="33"/>
      <c r="L259" s="33"/>
      <c r="M259" s="33"/>
      <c r="N259" s="6"/>
      <c r="O259" s="23" t="str">
        <f t="shared" si="12"/>
        <v>FALTA</v>
      </c>
      <c r="P259" s="6" t="str">
        <f t="shared" si="13"/>
        <v>OK</v>
      </c>
      <c r="Q259" s="12">
        <f>INDEX(Calendario!$B$5:$B$16,MATCH($A259,Calendario!$A$5:$A$16,0))</f>
        <v>46426</v>
      </c>
      <c r="R259" s="12">
        <f>INDEX(Calendario!$C$5:$C$16,MATCH($A259,Calendario!$A$5:$A$16,0))</f>
        <v>46439</v>
      </c>
      <c r="S259" s="6" t="str">
        <f t="shared" si="14"/>
        <v>08/02/YYYY - 09/02/YYYY</v>
      </c>
    </row>
    <row r="260" spans="1:19" x14ac:dyDescent="0.25">
      <c r="A260" s="6">
        <v>11</v>
      </c>
      <c r="B260" s="13" t="str">
        <f>Alumnos!B20</f>
        <v>Alumno 19</v>
      </c>
      <c r="C260" s="13"/>
      <c r="D260" s="13"/>
      <c r="E260" s="13"/>
      <c r="F260" s="13"/>
      <c r="G260" s="22"/>
      <c r="H260" s="27"/>
      <c r="I260" s="33"/>
      <c r="J260" s="33"/>
      <c r="K260" s="33"/>
      <c r="L260" s="33"/>
      <c r="M260" s="33"/>
      <c r="N260" s="6"/>
      <c r="O260" s="23" t="str">
        <f t="shared" si="12"/>
        <v>FALTA</v>
      </c>
      <c r="P260" s="6" t="str">
        <f t="shared" si="13"/>
        <v>OK</v>
      </c>
      <c r="Q260" s="12">
        <f>INDEX(Calendario!$B$5:$B$16,MATCH($A260,Calendario!$A$5:$A$16,0))</f>
        <v>46426</v>
      </c>
      <c r="R260" s="12">
        <f>INDEX(Calendario!$C$5:$C$16,MATCH($A260,Calendario!$A$5:$A$16,0))</f>
        <v>46439</v>
      </c>
      <c r="S260" s="6" t="str">
        <f t="shared" si="14"/>
        <v>08/02/YYYY - 09/02/YYYY</v>
      </c>
    </row>
    <row r="261" spans="1:19" x14ac:dyDescent="0.25">
      <c r="A261" s="6">
        <v>11</v>
      </c>
      <c r="B261" s="13" t="str">
        <f>Alumnos!B21</f>
        <v>Alumno 20</v>
      </c>
      <c r="C261" s="13"/>
      <c r="D261" s="13"/>
      <c r="E261" s="13"/>
      <c r="F261" s="13"/>
      <c r="G261" s="22"/>
      <c r="H261" s="27"/>
      <c r="I261" s="33"/>
      <c r="J261" s="33"/>
      <c r="K261" s="33"/>
      <c r="L261" s="33"/>
      <c r="M261" s="33"/>
      <c r="N261" s="6"/>
      <c r="O261" s="23" t="str">
        <f t="shared" si="12"/>
        <v>FALTA</v>
      </c>
      <c r="P261" s="6" t="str">
        <f t="shared" si="13"/>
        <v>OK</v>
      </c>
      <c r="Q261" s="12">
        <f>INDEX(Calendario!$B$5:$B$16,MATCH($A261,Calendario!$A$5:$A$16,0))</f>
        <v>46426</v>
      </c>
      <c r="R261" s="12">
        <f>INDEX(Calendario!$C$5:$C$16,MATCH($A261,Calendario!$A$5:$A$16,0))</f>
        <v>46439</v>
      </c>
      <c r="S261" s="6" t="str">
        <f t="shared" si="14"/>
        <v>08/02/YYYY - 09/02/YYYY</v>
      </c>
    </row>
    <row r="262" spans="1:19" x14ac:dyDescent="0.25">
      <c r="A262" s="6">
        <v>11</v>
      </c>
      <c r="B262" s="13" t="str">
        <f>Alumnos!B22</f>
        <v>Alumno 21</v>
      </c>
      <c r="C262" s="13"/>
      <c r="D262" s="13"/>
      <c r="E262" s="13"/>
      <c r="F262" s="13"/>
      <c r="G262" s="22"/>
      <c r="H262" s="27"/>
      <c r="I262" s="33"/>
      <c r="J262" s="33"/>
      <c r="K262" s="33"/>
      <c r="L262" s="33"/>
      <c r="M262" s="33"/>
      <c r="N262" s="6"/>
      <c r="O262" s="23" t="str">
        <f t="shared" si="12"/>
        <v>FALTA</v>
      </c>
      <c r="P262" s="6" t="str">
        <f t="shared" si="13"/>
        <v>OK</v>
      </c>
      <c r="Q262" s="12">
        <f>INDEX(Calendario!$B$5:$B$16,MATCH($A262,Calendario!$A$5:$A$16,0))</f>
        <v>46426</v>
      </c>
      <c r="R262" s="12">
        <f>INDEX(Calendario!$C$5:$C$16,MATCH($A262,Calendario!$A$5:$A$16,0))</f>
        <v>46439</v>
      </c>
      <c r="S262" s="6" t="str">
        <f t="shared" si="14"/>
        <v>08/02/YYYY - 09/02/YYYY</v>
      </c>
    </row>
    <row r="263" spans="1:19" x14ac:dyDescent="0.25">
      <c r="A263" s="6">
        <v>11</v>
      </c>
      <c r="B263" s="13" t="str">
        <f>Alumnos!B23</f>
        <v>Alumno 22</v>
      </c>
      <c r="C263" s="13"/>
      <c r="D263" s="13"/>
      <c r="E263" s="13"/>
      <c r="F263" s="13"/>
      <c r="G263" s="22"/>
      <c r="H263" s="27"/>
      <c r="I263" s="33"/>
      <c r="J263" s="33"/>
      <c r="K263" s="33"/>
      <c r="L263" s="33"/>
      <c r="M263" s="33"/>
      <c r="N263" s="6"/>
      <c r="O263" s="23" t="str">
        <f t="shared" si="12"/>
        <v>FALTA</v>
      </c>
      <c r="P263" s="6" t="str">
        <f t="shared" si="13"/>
        <v>OK</v>
      </c>
      <c r="Q263" s="12">
        <f>INDEX(Calendario!$B$5:$B$16,MATCH($A263,Calendario!$A$5:$A$16,0))</f>
        <v>46426</v>
      </c>
      <c r="R263" s="12">
        <f>INDEX(Calendario!$C$5:$C$16,MATCH($A263,Calendario!$A$5:$A$16,0))</f>
        <v>46439</v>
      </c>
      <c r="S263" s="6" t="str">
        <f t="shared" si="14"/>
        <v>08/02/YYYY - 09/02/YYYY</v>
      </c>
    </row>
    <row r="264" spans="1:19" x14ac:dyDescent="0.25">
      <c r="A264" s="6">
        <v>11</v>
      </c>
      <c r="B264" s="13" t="str">
        <f>Alumnos!B24</f>
        <v>Alumno 23</v>
      </c>
      <c r="C264" s="13"/>
      <c r="D264" s="13"/>
      <c r="E264" s="13"/>
      <c r="F264" s="13"/>
      <c r="G264" s="22"/>
      <c r="H264" s="27"/>
      <c r="I264" s="33"/>
      <c r="J264" s="33"/>
      <c r="K264" s="33"/>
      <c r="L264" s="33"/>
      <c r="M264" s="33"/>
      <c r="N264" s="6"/>
      <c r="O264" s="23" t="str">
        <f t="shared" si="12"/>
        <v>FALTA</v>
      </c>
      <c r="P264" s="6" t="str">
        <f t="shared" si="13"/>
        <v>OK</v>
      </c>
      <c r="Q264" s="12">
        <f>INDEX(Calendario!$B$5:$B$16,MATCH($A264,Calendario!$A$5:$A$16,0))</f>
        <v>46426</v>
      </c>
      <c r="R264" s="12">
        <f>INDEX(Calendario!$C$5:$C$16,MATCH($A264,Calendario!$A$5:$A$16,0))</f>
        <v>46439</v>
      </c>
      <c r="S264" s="6" t="str">
        <f t="shared" si="14"/>
        <v>08/02/YYYY - 09/02/YYYY</v>
      </c>
    </row>
    <row r="265" spans="1:19" x14ac:dyDescent="0.25">
      <c r="A265" s="6">
        <v>11</v>
      </c>
      <c r="B265" s="13" t="str">
        <f>Alumnos!B25</f>
        <v>Alumno 24</v>
      </c>
      <c r="C265" s="13"/>
      <c r="D265" s="13"/>
      <c r="E265" s="13"/>
      <c r="F265" s="13"/>
      <c r="G265" s="22"/>
      <c r="H265" s="27"/>
      <c r="I265" s="33"/>
      <c r="J265" s="33"/>
      <c r="K265" s="33"/>
      <c r="L265" s="33"/>
      <c r="M265" s="33"/>
      <c r="N265" s="6"/>
      <c r="O265" s="23" t="str">
        <f t="shared" si="12"/>
        <v>FALTA</v>
      </c>
      <c r="P265" s="6" t="str">
        <f t="shared" si="13"/>
        <v>OK</v>
      </c>
      <c r="Q265" s="12">
        <f>INDEX(Calendario!$B$5:$B$16,MATCH($A265,Calendario!$A$5:$A$16,0))</f>
        <v>46426</v>
      </c>
      <c r="R265" s="12">
        <f>INDEX(Calendario!$C$5:$C$16,MATCH($A265,Calendario!$A$5:$A$16,0))</f>
        <v>46439</v>
      </c>
      <c r="S265" s="6" t="str">
        <f t="shared" si="14"/>
        <v>08/02/YYYY - 09/02/YYYY</v>
      </c>
    </row>
    <row r="266" spans="1:19" x14ac:dyDescent="0.25">
      <c r="A266" s="20">
        <v>12</v>
      </c>
      <c r="B266" s="21" t="str">
        <f>Alumnos!B2</f>
        <v>Alumno 1</v>
      </c>
      <c r="C266" s="21"/>
      <c r="D266" s="21"/>
      <c r="E266" s="21"/>
      <c r="F266" s="21"/>
      <c r="G266" s="25"/>
      <c r="H266" s="28"/>
      <c r="I266" s="34"/>
      <c r="J266" s="34"/>
      <c r="K266" s="34"/>
      <c r="L266" s="34"/>
      <c r="M266" s="34"/>
      <c r="N266" s="20"/>
      <c r="O266" s="23" t="str">
        <f t="shared" si="12"/>
        <v>FALTA</v>
      </c>
      <c r="P266" s="6" t="str">
        <f t="shared" si="13"/>
        <v>OK</v>
      </c>
      <c r="Q266" s="12">
        <f>INDEX(Calendario!$B$5:$B$16,MATCH($A266,Calendario!$A$5:$A$16,0))</f>
        <v>46440</v>
      </c>
      <c r="R266" s="12">
        <f>INDEX(Calendario!$C$5:$C$16,MATCH($A266,Calendario!$A$5:$A$16,0))</f>
        <v>46451</v>
      </c>
      <c r="S266" s="6" t="str">
        <f t="shared" si="14"/>
        <v>22/02/YYYY - 23/02/YYYY</v>
      </c>
    </row>
    <row r="267" spans="1:19" x14ac:dyDescent="0.25">
      <c r="A267" s="6">
        <v>12</v>
      </c>
      <c r="B267" s="13" t="str">
        <f>Alumnos!B3</f>
        <v>Alumno 2</v>
      </c>
      <c r="C267" s="13"/>
      <c r="D267" s="13"/>
      <c r="E267" s="13"/>
      <c r="F267" s="13"/>
      <c r="G267" s="22"/>
      <c r="H267" s="27"/>
      <c r="I267" s="33"/>
      <c r="J267" s="33"/>
      <c r="K267" s="33"/>
      <c r="L267" s="33"/>
      <c r="M267" s="33"/>
      <c r="N267" s="6"/>
      <c r="O267" s="23" t="str">
        <f t="shared" si="12"/>
        <v>FALTA</v>
      </c>
      <c r="P267" s="6" t="str">
        <f t="shared" si="13"/>
        <v>OK</v>
      </c>
      <c r="Q267" s="12">
        <f>INDEX(Calendario!$B$5:$B$16,MATCH($A267,Calendario!$A$5:$A$16,0))</f>
        <v>46440</v>
      </c>
      <c r="R267" s="12">
        <f>INDEX(Calendario!$C$5:$C$16,MATCH($A267,Calendario!$A$5:$A$16,0))</f>
        <v>46451</v>
      </c>
      <c r="S267" s="6" t="str">
        <f t="shared" si="14"/>
        <v>22/02/YYYY - 23/02/YYYY</v>
      </c>
    </row>
    <row r="268" spans="1:19" x14ac:dyDescent="0.25">
      <c r="A268" s="6">
        <v>12</v>
      </c>
      <c r="B268" s="13" t="str">
        <f>Alumnos!B4</f>
        <v>Alumno 3</v>
      </c>
      <c r="C268" s="13"/>
      <c r="D268" s="13"/>
      <c r="E268" s="13"/>
      <c r="F268" s="13"/>
      <c r="G268" s="22"/>
      <c r="H268" s="27"/>
      <c r="I268" s="33"/>
      <c r="J268" s="33"/>
      <c r="K268" s="33"/>
      <c r="L268" s="33"/>
      <c r="M268" s="33"/>
      <c r="N268" s="6"/>
      <c r="O268" s="23" t="str">
        <f t="shared" si="12"/>
        <v>FALTA</v>
      </c>
      <c r="P268" s="6" t="str">
        <f t="shared" si="13"/>
        <v>OK</v>
      </c>
      <c r="Q268" s="12">
        <f>INDEX(Calendario!$B$5:$B$16,MATCH($A268,Calendario!$A$5:$A$16,0))</f>
        <v>46440</v>
      </c>
      <c r="R268" s="12">
        <f>INDEX(Calendario!$C$5:$C$16,MATCH($A268,Calendario!$A$5:$A$16,0))</f>
        <v>46451</v>
      </c>
      <c r="S268" s="6" t="str">
        <f t="shared" si="14"/>
        <v>22/02/YYYY - 23/02/YYYY</v>
      </c>
    </row>
    <row r="269" spans="1:19" x14ac:dyDescent="0.25">
      <c r="A269" s="6">
        <v>12</v>
      </c>
      <c r="B269" s="13" t="str">
        <f>Alumnos!B5</f>
        <v>Alumno 4</v>
      </c>
      <c r="C269" s="13"/>
      <c r="D269" s="13"/>
      <c r="E269" s="13"/>
      <c r="F269" s="13"/>
      <c r="G269" s="22"/>
      <c r="H269" s="27"/>
      <c r="I269" s="33"/>
      <c r="J269" s="33"/>
      <c r="K269" s="33"/>
      <c r="L269" s="33"/>
      <c r="M269" s="33"/>
      <c r="N269" s="6"/>
      <c r="O269" s="23" t="str">
        <f t="shared" si="12"/>
        <v>FALTA</v>
      </c>
      <c r="P269" s="6" t="str">
        <f t="shared" si="13"/>
        <v>OK</v>
      </c>
      <c r="Q269" s="12">
        <f>INDEX(Calendario!$B$5:$B$16,MATCH($A269,Calendario!$A$5:$A$16,0))</f>
        <v>46440</v>
      </c>
      <c r="R269" s="12">
        <f>INDEX(Calendario!$C$5:$C$16,MATCH($A269,Calendario!$A$5:$A$16,0))</f>
        <v>46451</v>
      </c>
      <c r="S269" s="6" t="str">
        <f t="shared" si="14"/>
        <v>22/02/YYYY - 23/02/YYYY</v>
      </c>
    </row>
    <row r="270" spans="1:19" x14ac:dyDescent="0.25">
      <c r="A270" s="6">
        <v>12</v>
      </c>
      <c r="B270" s="13" t="str">
        <f>Alumnos!B6</f>
        <v>Alumno 5</v>
      </c>
      <c r="C270" s="13"/>
      <c r="D270" s="13"/>
      <c r="E270" s="13"/>
      <c r="F270" s="13"/>
      <c r="G270" s="22"/>
      <c r="H270" s="27"/>
      <c r="I270" s="33"/>
      <c r="J270" s="33"/>
      <c r="K270" s="33"/>
      <c r="L270" s="33"/>
      <c r="M270" s="33"/>
      <c r="N270" s="6"/>
      <c r="O270" s="23" t="str">
        <f t="shared" si="12"/>
        <v>FALTA</v>
      </c>
      <c r="P270" s="6" t="str">
        <f t="shared" si="13"/>
        <v>OK</v>
      </c>
      <c r="Q270" s="12">
        <f>INDEX(Calendario!$B$5:$B$16,MATCH($A270,Calendario!$A$5:$A$16,0))</f>
        <v>46440</v>
      </c>
      <c r="R270" s="12">
        <f>INDEX(Calendario!$C$5:$C$16,MATCH($A270,Calendario!$A$5:$A$16,0))</f>
        <v>46451</v>
      </c>
      <c r="S270" s="6" t="str">
        <f t="shared" si="14"/>
        <v>22/02/YYYY - 23/02/YYYY</v>
      </c>
    </row>
    <row r="271" spans="1:19" x14ac:dyDescent="0.25">
      <c r="A271" s="6">
        <v>12</v>
      </c>
      <c r="B271" s="13" t="str">
        <f>Alumnos!B7</f>
        <v>Alumno 6</v>
      </c>
      <c r="C271" s="13"/>
      <c r="D271" s="13"/>
      <c r="E271" s="13"/>
      <c r="F271" s="13"/>
      <c r="G271" s="22"/>
      <c r="H271" s="27"/>
      <c r="I271" s="33"/>
      <c r="J271" s="33"/>
      <c r="K271" s="33"/>
      <c r="L271" s="33"/>
      <c r="M271" s="33"/>
      <c r="N271" s="6"/>
      <c r="O271" s="23" t="str">
        <f t="shared" si="12"/>
        <v>FALTA</v>
      </c>
      <c r="P271" s="6" t="str">
        <f t="shared" si="13"/>
        <v>OK</v>
      </c>
      <c r="Q271" s="12">
        <f>INDEX(Calendario!$B$5:$B$16,MATCH($A271,Calendario!$A$5:$A$16,0))</f>
        <v>46440</v>
      </c>
      <c r="R271" s="12">
        <f>INDEX(Calendario!$C$5:$C$16,MATCH($A271,Calendario!$A$5:$A$16,0))</f>
        <v>46451</v>
      </c>
      <c r="S271" s="6" t="str">
        <f t="shared" si="14"/>
        <v>22/02/YYYY - 23/02/YYYY</v>
      </c>
    </row>
    <row r="272" spans="1:19" x14ac:dyDescent="0.25">
      <c r="A272" s="6">
        <v>12</v>
      </c>
      <c r="B272" s="13" t="str">
        <f>Alumnos!B8</f>
        <v>Alumno 7</v>
      </c>
      <c r="C272" s="13"/>
      <c r="D272" s="13"/>
      <c r="E272" s="13"/>
      <c r="F272" s="13"/>
      <c r="G272" s="22"/>
      <c r="H272" s="27"/>
      <c r="I272" s="33"/>
      <c r="J272" s="33"/>
      <c r="K272" s="33"/>
      <c r="L272" s="33"/>
      <c r="M272" s="33"/>
      <c r="N272" s="6"/>
      <c r="O272" s="23" t="str">
        <f t="shared" si="12"/>
        <v>FALTA</v>
      </c>
      <c r="P272" s="6" t="str">
        <f t="shared" si="13"/>
        <v>OK</v>
      </c>
      <c r="Q272" s="12">
        <f>INDEX(Calendario!$B$5:$B$16,MATCH($A272,Calendario!$A$5:$A$16,0))</f>
        <v>46440</v>
      </c>
      <c r="R272" s="12">
        <f>INDEX(Calendario!$C$5:$C$16,MATCH($A272,Calendario!$A$5:$A$16,0))</f>
        <v>46451</v>
      </c>
      <c r="S272" s="6" t="str">
        <f t="shared" si="14"/>
        <v>22/02/YYYY - 23/02/YYYY</v>
      </c>
    </row>
    <row r="273" spans="1:19" x14ac:dyDescent="0.25">
      <c r="A273" s="6">
        <v>12</v>
      </c>
      <c r="B273" s="13" t="str">
        <f>Alumnos!B9</f>
        <v>Alumno 8</v>
      </c>
      <c r="C273" s="13"/>
      <c r="D273" s="13"/>
      <c r="E273" s="13"/>
      <c r="F273" s="13"/>
      <c r="G273" s="22"/>
      <c r="H273" s="27"/>
      <c r="I273" s="33"/>
      <c r="J273" s="33"/>
      <c r="K273" s="33"/>
      <c r="L273" s="33"/>
      <c r="M273" s="33"/>
      <c r="N273" s="6"/>
      <c r="O273" s="23" t="str">
        <f t="shared" si="12"/>
        <v>FALTA</v>
      </c>
      <c r="P273" s="6" t="str">
        <f t="shared" si="13"/>
        <v>OK</v>
      </c>
      <c r="Q273" s="12">
        <f>INDEX(Calendario!$B$5:$B$16,MATCH($A273,Calendario!$A$5:$A$16,0))</f>
        <v>46440</v>
      </c>
      <c r="R273" s="12">
        <f>INDEX(Calendario!$C$5:$C$16,MATCH($A273,Calendario!$A$5:$A$16,0))</f>
        <v>46451</v>
      </c>
      <c r="S273" s="6" t="str">
        <f t="shared" si="14"/>
        <v>22/02/YYYY - 23/02/YYYY</v>
      </c>
    </row>
    <row r="274" spans="1:19" x14ac:dyDescent="0.25">
      <c r="A274" s="6">
        <v>12</v>
      </c>
      <c r="B274" s="13" t="str">
        <f>Alumnos!B10</f>
        <v>Alumno 9</v>
      </c>
      <c r="C274" s="13"/>
      <c r="D274" s="13"/>
      <c r="E274" s="13"/>
      <c r="F274" s="13"/>
      <c r="G274" s="22"/>
      <c r="H274" s="27"/>
      <c r="I274" s="33"/>
      <c r="J274" s="33"/>
      <c r="K274" s="33"/>
      <c r="L274" s="33"/>
      <c r="M274" s="33"/>
      <c r="N274" s="6"/>
      <c r="O274" s="23" t="str">
        <f t="shared" si="12"/>
        <v>FALTA</v>
      </c>
      <c r="P274" s="6" t="str">
        <f t="shared" si="13"/>
        <v>OK</v>
      </c>
      <c r="Q274" s="12">
        <f>INDEX(Calendario!$B$5:$B$16,MATCH($A274,Calendario!$A$5:$A$16,0))</f>
        <v>46440</v>
      </c>
      <c r="R274" s="12">
        <f>INDEX(Calendario!$C$5:$C$16,MATCH($A274,Calendario!$A$5:$A$16,0))</f>
        <v>46451</v>
      </c>
      <c r="S274" s="6" t="str">
        <f t="shared" si="14"/>
        <v>22/02/YYYY - 23/02/YYYY</v>
      </c>
    </row>
    <row r="275" spans="1:19" x14ac:dyDescent="0.25">
      <c r="A275" s="6">
        <v>12</v>
      </c>
      <c r="B275" s="13" t="str">
        <f>Alumnos!B11</f>
        <v>Alumno 10</v>
      </c>
      <c r="C275" s="13"/>
      <c r="D275" s="13"/>
      <c r="E275" s="13"/>
      <c r="F275" s="13"/>
      <c r="G275" s="22"/>
      <c r="H275" s="27"/>
      <c r="I275" s="33"/>
      <c r="J275" s="33"/>
      <c r="K275" s="33"/>
      <c r="L275" s="33"/>
      <c r="M275" s="33"/>
      <c r="N275" s="6"/>
      <c r="O275" s="23" t="str">
        <f t="shared" si="12"/>
        <v>FALTA</v>
      </c>
      <c r="P275" s="6" t="str">
        <f t="shared" si="13"/>
        <v>OK</v>
      </c>
      <c r="Q275" s="12">
        <f>INDEX(Calendario!$B$5:$B$16,MATCH($A275,Calendario!$A$5:$A$16,0))</f>
        <v>46440</v>
      </c>
      <c r="R275" s="12">
        <f>INDEX(Calendario!$C$5:$C$16,MATCH($A275,Calendario!$A$5:$A$16,0))</f>
        <v>46451</v>
      </c>
      <c r="S275" s="6" t="str">
        <f t="shared" si="14"/>
        <v>22/02/YYYY - 23/02/YYYY</v>
      </c>
    </row>
    <row r="276" spans="1:19" x14ac:dyDescent="0.25">
      <c r="A276" s="6">
        <v>12</v>
      </c>
      <c r="B276" s="13" t="str">
        <f>Alumnos!B12</f>
        <v>Alumno 11</v>
      </c>
      <c r="C276" s="13"/>
      <c r="D276" s="13"/>
      <c r="E276" s="13"/>
      <c r="F276" s="13"/>
      <c r="G276" s="22"/>
      <c r="H276" s="27"/>
      <c r="I276" s="33"/>
      <c r="J276" s="33"/>
      <c r="K276" s="33"/>
      <c r="L276" s="33"/>
      <c r="M276" s="33"/>
      <c r="N276" s="6"/>
      <c r="O276" s="23" t="str">
        <f t="shared" si="12"/>
        <v>FALTA</v>
      </c>
      <c r="P276" s="6" t="str">
        <f t="shared" si="13"/>
        <v>OK</v>
      </c>
      <c r="Q276" s="12">
        <f>INDEX(Calendario!$B$5:$B$16,MATCH($A276,Calendario!$A$5:$A$16,0))</f>
        <v>46440</v>
      </c>
      <c r="R276" s="12">
        <f>INDEX(Calendario!$C$5:$C$16,MATCH($A276,Calendario!$A$5:$A$16,0))</f>
        <v>46451</v>
      </c>
      <c r="S276" s="6" t="str">
        <f t="shared" si="14"/>
        <v>22/02/YYYY - 23/02/YYYY</v>
      </c>
    </row>
    <row r="277" spans="1:19" x14ac:dyDescent="0.25">
      <c r="A277" s="6">
        <v>12</v>
      </c>
      <c r="B277" s="13" t="str">
        <f>Alumnos!B13</f>
        <v>Alumno 12</v>
      </c>
      <c r="C277" s="13"/>
      <c r="D277" s="13"/>
      <c r="E277" s="13"/>
      <c r="F277" s="13"/>
      <c r="G277" s="22"/>
      <c r="H277" s="27"/>
      <c r="I277" s="33"/>
      <c r="J277" s="33"/>
      <c r="K277" s="33"/>
      <c r="L277" s="33"/>
      <c r="M277" s="33"/>
      <c r="N277" s="6"/>
      <c r="O277" s="23" t="str">
        <f t="shared" si="12"/>
        <v>FALTA</v>
      </c>
      <c r="P277" s="6" t="str">
        <f t="shared" si="13"/>
        <v>OK</v>
      </c>
      <c r="Q277" s="12">
        <f>INDEX(Calendario!$B$5:$B$16,MATCH($A277,Calendario!$A$5:$A$16,0))</f>
        <v>46440</v>
      </c>
      <c r="R277" s="12">
        <f>INDEX(Calendario!$C$5:$C$16,MATCH($A277,Calendario!$A$5:$A$16,0))</f>
        <v>46451</v>
      </c>
      <c r="S277" s="6" t="str">
        <f t="shared" si="14"/>
        <v>22/02/YYYY - 23/02/YYYY</v>
      </c>
    </row>
    <row r="278" spans="1:19" x14ac:dyDescent="0.25">
      <c r="A278" s="6">
        <v>12</v>
      </c>
      <c r="B278" s="13" t="str">
        <f>Alumnos!B14</f>
        <v>Alumno 13</v>
      </c>
      <c r="C278" s="13"/>
      <c r="D278" s="13"/>
      <c r="E278" s="13"/>
      <c r="F278" s="13"/>
      <c r="G278" s="22"/>
      <c r="H278" s="27"/>
      <c r="I278" s="33"/>
      <c r="J278" s="33"/>
      <c r="K278" s="33"/>
      <c r="L278" s="33"/>
      <c r="M278" s="33"/>
      <c r="N278" s="6"/>
      <c r="O278" s="23" t="str">
        <f t="shared" si="12"/>
        <v>FALTA</v>
      </c>
      <c r="P278" s="6" t="str">
        <f t="shared" si="13"/>
        <v>OK</v>
      </c>
      <c r="Q278" s="12">
        <f>INDEX(Calendario!$B$5:$B$16,MATCH($A278,Calendario!$A$5:$A$16,0))</f>
        <v>46440</v>
      </c>
      <c r="R278" s="12">
        <f>INDEX(Calendario!$C$5:$C$16,MATCH($A278,Calendario!$A$5:$A$16,0))</f>
        <v>46451</v>
      </c>
      <c r="S278" s="6" t="str">
        <f t="shared" si="14"/>
        <v>22/02/YYYY - 23/02/YYYY</v>
      </c>
    </row>
    <row r="279" spans="1:19" x14ac:dyDescent="0.25">
      <c r="A279" s="6">
        <v>12</v>
      </c>
      <c r="B279" s="13" t="str">
        <f>Alumnos!B15</f>
        <v>Alumno 14</v>
      </c>
      <c r="C279" s="13"/>
      <c r="D279" s="13"/>
      <c r="E279" s="13"/>
      <c r="F279" s="13"/>
      <c r="G279" s="22"/>
      <c r="H279" s="27"/>
      <c r="I279" s="33"/>
      <c r="J279" s="33"/>
      <c r="K279" s="33"/>
      <c r="L279" s="33"/>
      <c r="M279" s="33"/>
      <c r="N279" s="6"/>
      <c r="O279" s="23" t="str">
        <f t="shared" si="12"/>
        <v>FALTA</v>
      </c>
      <c r="P279" s="6" t="str">
        <f t="shared" si="13"/>
        <v>OK</v>
      </c>
      <c r="Q279" s="12">
        <f>INDEX(Calendario!$B$5:$B$16,MATCH($A279,Calendario!$A$5:$A$16,0))</f>
        <v>46440</v>
      </c>
      <c r="R279" s="12">
        <f>INDEX(Calendario!$C$5:$C$16,MATCH($A279,Calendario!$A$5:$A$16,0))</f>
        <v>46451</v>
      </c>
      <c r="S279" s="6" t="str">
        <f t="shared" si="14"/>
        <v>22/02/YYYY - 23/02/YYYY</v>
      </c>
    </row>
    <row r="280" spans="1:19" x14ac:dyDescent="0.25">
      <c r="A280" s="6">
        <v>12</v>
      </c>
      <c r="B280" s="13" t="str">
        <f>Alumnos!B16</f>
        <v>Alumno 15</v>
      </c>
      <c r="C280" s="13"/>
      <c r="D280" s="13"/>
      <c r="E280" s="13"/>
      <c r="F280" s="13"/>
      <c r="G280" s="22"/>
      <c r="H280" s="27"/>
      <c r="I280" s="33"/>
      <c r="J280" s="33"/>
      <c r="K280" s="33"/>
      <c r="L280" s="33"/>
      <c r="M280" s="33"/>
      <c r="N280" s="6"/>
      <c r="O280" s="23" t="str">
        <f t="shared" si="12"/>
        <v>FALTA</v>
      </c>
      <c r="P280" s="6" t="str">
        <f t="shared" si="13"/>
        <v>OK</v>
      </c>
      <c r="Q280" s="12">
        <f>INDEX(Calendario!$B$5:$B$16,MATCH($A280,Calendario!$A$5:$A$16,0))</f>
        <v>46440</v>
      </c>
      <c r="R280" s="12">
        <f>INDEX(Calendario!$C$5:$C$16,MATCH($A280,Calendario!$A$5:$A$16,0))</f>
        <v>46451</v>
      </c>
      <c r="S280" s="6" t="str">
        <f t="shared" si="14"/>
        <v>22/02/YYYY - 23/02/YYYY</v>
      </c>
    </row>
    <row r="281" spans="1:19" x14ac:dyDescent="0.25">
      <c r="A281" s="6">
        <v>12</v>
      </c>
      <c r="B281" s="13" t="str">
        <f>Alumnos!B17</f>
        <v>Alumno 16</v>
      </c>
      <c r="C281" s="13"/>
      <c r="D281" s="13"/>
      <c r="E281" s="13"/>
      <c r="F281" s="13"/>
      <c r="G281" s="22"/>
      <c r="H281" s="27"/>
      <c r="I281" s="33"/>
      <c r="J281" s="33"/>
      <c r="K281" s="33"/>
      <c r="L281" s="33"/>
      <c r="M281" s="33"/>
      <c r="N281" s="6"/>
      <c r="O281" s="23" t="str">
        <f t="shared" si="12"/>
        <v>FALTA</v>
      </c>
      <c r="P281" s="6" t="str">
        <f t="shared" si="13"/>
        <v>OK</v>
      </c>
      <c r="Q281" s="12">
        <f>INDEX(Calendario!$B$5:$B$16,MATCH($A281,Calendario!$A$5:$A$16,0))</f>
        <v>46440</v>
      </c>
      <c r="R281" s="12">
        <f>INDEX(Calendario!$C$5:$C$16,MATCH($A281,Calendario!$A$5:$A$16,0))</f>
        <v>46451</v>
      </c>
      <c r="S281" s="6" t="str">
        <f t="shared" si="14"/>
        <v>22/02/YYYY - 23/02/YYYY</v>
      </c>
    </row>
    <row r="282" spans="1:19" x14ac:dyDescent="0.25">
      <c r="A282" s="6">
        <v>12</v>
      </c>
      <c r="B282" s="13" t="str">
        <f>Alumnos!B18</f>
        <v>Alumno 17</v>
      </c>
      <c r="C282" s="13"/>
      <c r="D282" s="13"/>
      <c r="E282" s="13"/>
      <c r="F282" s="13"/>
      <c r="G282" s="22"/>
      <c r="H282" s="27"/>
      <c r="I282" s="33"/>
      <c r="J282" s="33"/>
      <c r="K282" s="33"/>
      <c r="L282" s="33"/>
      <c r="M282" s="33"/>
      <c r="N282" s="6"/>
      <c r="O282" s="23" t="str">
        <f t="shared" si="12"/>
        <v>FALTA</v>
      </c>
      <c r="P282" s="6" t="str">
        <f t="shared" si="13"/>
        <v>OK</v>
      </c>
      <c r="Q282" s="12">
        <f>INDEX(Calendario!$B$5:$B$16,MATCH($A282,Calendario!$A$5:$A$16,0))</f>
        <v>46440</v>
      </c>
      <c r="R282" s="12">
        <f>INDEX(Calendario!$C$5:$C$16,MATCH($A282,Calendario!$A$5:$A$16,0))</f>
        <v>46451</v>
      </c>
      <c r="S282" s="6" t="str">
        <f t="shared" si="14"/>
        <v>22/02/YYYY - 23/02/YYYY</v>
      </c>
    </row>
    <row r="283" spans="1:19" x14ac:dyDescent="0.25">
      <c r="A283" s="6">
        <v>12</v>
      </c>
      <c r="B283" s="13" t="str">
        <f>Alumnos!B19</f>
        <v>Alumno 18</v>
      </c>
      <c r="C283" s="13"/>
      <c r="D283" s="13"/>
      <c r="E283" s="13"/>
      <c r="F283" s="13"/>
      <c r="G283" s="22"/>
      <c r="H283" s="27"/>
      <c r="I283" s="33"/>
      <c r="J283" s="33"/>
      <c r="K283" s="33"/>
      <c r="L283" s="33"/>
      <c r="M283" s="33"/>
      <c r="N283" s="6"/>
      <c r="O283" s="23" t="str">
        <f t="shared" si="12"/>
        <v>FALTA</v>
      </c>
      <c r="P283" s="6" t="str">
        <f t="shared" si="13"/>
        <v>OK</v>
      </c>
      <c r="Q283" s="12">
        <f>INDEX(Calendario!$B$5:$B$16,MATCH($A283,Calendario!$A$5:$A$16,0))</f>
        <v>46440</v>
      </c>
      <c r="R283" s="12">
        <f>INDEX(Calendario!$C$5:$C$16,MATCH($A283,Calendario!$A$5:$A$16,0))</f>
        <v>46451</v>
      </c>
      <c r="S283" s="6" t="str">
        <f t="shared" si="14"/>
        <v>22/02/YYYY - 23/02/YYYY</v>
      </c>
    </row>
    <row r="284" spans="1:19" x14ac:dyDescent="0.25">
      <c r="A284" s="6">
        <v>12</v>
      </c>
      <c r="B284" s="13" t="str">
        <f>Alumnos!B20</f>
        <v>Alumno 19</v>
      </c>
      <c r="C284" s="13"/>
      <c r="D284" s="13"/>
      <c r="E284" s="13"/>
      <c r="F284" s="13"/>
      <c r="G284" s="22"/>
      <c r="H284" s="27"/>
      <c r="I284" s="33"/>
      <c r="J284" s="33"/>
      <c r="K284" s="33"/>
      <c r="L284" s="33"/>
      <c r="M284" s="33"/>
      <c r="N284" s="6"/>
      <c r="O284" s="23" t="str">
        <f t="shared" si="12"/>
        <v>FALTA</v>
      </c>
      <c r="P284" s="6" t="str">
        <f t="shared" si="13"/>
        <v>OK</v>
      </c>
      <c r="Q284" s="12">
        <f>INDEX(Calendario!$B$5:$B$16,MATCH($A284,Calendario!$A$5:$A$16,0))</f>
        <v>46440</v>
      </c>
      <c r="R284" s="12">
        <f>INDEX(Calendario!$C$5:$C$16,MATCH($A284,Calendario!$A$5:$A$16,0))</f>
        <v>46451</v>
      </c>
      <c r="S284" s="6" t="str">
        <f t="shared" si="14"/>
        <v>22/02/YYYY - 23/02/YYYY</v>
      </c>
    </row>
    <row r="285" spans="1:19" x14ac:dyDescent="0.25">
      <c r="A285" s="6">
        <v>12</v>
      </c>
      <c r="B285" s="13" t="str">
        <f>Alumnos!B21</f>
        <v>Alumno 20</v>
      </c>
      <c r="C285" s="13"/>
      <c r="D285" s="13"/>
      <c r="E285" s="13"/>
      <c r="F285" s="13"/>
      <c r="G285" s="22"/>
      <c r="H285" s="27"/>
      <c r="I285" s="33"/>
      <c r="J285" s="33"/>
      <c r="K285" s="33"/>
      <c r="L285" s="33"/>
      <c r="M285" s="33"/>
      <c r="N285" s="6"/>
      <c r="O285" s="23" t="str">
        <f t="shared" si="12"/>
        <v>FALTA</v>
      </c>
      <c r="P285" s="6" t="str">
        <f t="shared" si="13"/>
        <v>OK</v>
      </c>
      <c r="Q285" s="12">
        <f>INDEX(Calendario!$B$5:$B$16,MATCH($A285,Calendario!$A$5:$A$16,0))</f>
        <v>46440</v>
      </c>
      <c r="R285" s="12">
        <f>INDEX(Calendario!$C$5:$C$16,MATCH($A285,Calendario!$A$5:$A$16,0))</f>
        <v>46451</v>
      </c>
      <c r="S285" s="6" t="str">
        <f t="shared" si="14"/>
        <v>22/02/YYYY - 23/02/YYYY</v>
      </c>
    </row>
    <row r="286" spans="1:19" x14ac:dyDescent="0.25">
      <c r="A286" s="6">
        <v>12</v>
      </c>
      <c r="B286" s="13" t="str">
        <f>Alumnos!B22</f>
        <v>Alumno 21</v>
      </c>
      <c r="C286" s="13"/>
      <c r="D286" s="13"/>
      <c r="E286" s="13"/>
      <c r="F286" s="13"/>
      <c r="G286" s="22"/>
      <c r="H286" s="27"/>
      <c r="I286" s="33"/>
      <c r="J286" s="33"/>
      <c r="K286" s="33"/>
      <c r="L286" s="33"/>
      <c r="M286" s="33"/>
      <c r="N286" s="6"/>
      <c r="O286" s="23" t="str">
        <f t="shared" si="12"/>
        <v>FALTA</v>
      </c>
      <c r="P286" s="6" t="str">
        <f t="shared" si="13"/>
        <v>OK</v>
      </c>
      <c r="Q286" s="12">
        <f>INDEX(Calendario!$B$5:$B$16,MATCH($A286,Calendario!$A$5:$A$16,0))</f>
        <v>46440</v>
      </c>
      <c r="R286" s="12">
        <f>INDEX(Calendario!$C$5:$C$16,MATCH($A286,Calendario!$A$5:$A$16,0))</f>
        <v>46451</v>
      </c>
      <c r="S286" s="6" t="str">
        <f t="shared" si="14"/>
        <v>22/02/YYYY - 23/02/YYYY</v>
      </c>
    </row>
    <row r="287" spans="1:19" x14ac:dyDescent="0.25">
      <c r="A287" s="6">
        <v>12</v>
      </c>
      <c r="B287" s="13" t="str">
        <f>Alumnos!B23</f>
        <v>Alumno 22</v>
      </c>
      <c r="C287" s="13"/>
      <c r="D287" s="13"/>
      <c r="E287" s="13"/>
      <c r="F287" s="13"/>
      <c r="G287" s="22"/>
      <c r="H287" s="27"/>
      <c r="I287" s="33"/>
      <c r="J287" s="33"/>
      <c r="K287" s="33"/>
      <c r="L287" s="33"/>
      <c r="M287" s="33"/>
      <c r="N287" s="6"/>
      <c r="O287" s="23" t="str">
        <f t="shared" si="12"/>
        <v>FALTA</v>
      </c>
      <c r="P287" s="6" t="str">
        <f t="shared" si="13"/>
        <v>OK</v>
      </c>
      <c r="Q287" s="12">
        <f>INDEX(Calendario!$B$5:$B$16,MATCH($A287,Calendario!$A$5:$A$16,0))</f>
        <v>46440</v>
      </c>
      <c r="R287" s="12">
        <f>INDEX(Calendario!$C$5:$C$16,MATCH($A287,Calendario!$A$5:$A$16,0))</f>
        <v>46451</v>
      </c>
      <c r="S287" s="6" t="str">
        <f t="shared" si="14"/>
        <v>22/02/YYYY - 23/02/YYYY</v>
      </c>
    </row>
    <row r="288" spans="1:19" x14ac:dyDescent="0.25">
      <c r="A288" s="6">
        <v>12</v>
      </c>
      <c r="B288" s="13" t="str">
        <f>Alumnos!B24</f>
        <v>Alumno 23</v>
      </c>
      <c r="C288" s="13"/>
      <c r="D288" s="13"/>
      <c r="E288" s="13"/>
      <c r="F288" s="13"/>
      <c r="G288" s="22"/>
      <c r="H288" s="27"/>
      <c r="I288" s="33"/>
      <c r="J288" s="33"/>
      <c r="K288" s="33"/>
      <c r="L288" s="33"/>
      <c r="M288" s="33"/>
      <c r="N288" s="6"/>
      <c r="O288" s="23" t="str">
        <f t="shared" si="12"/>
        <v>FALTA</v>
      </c>
      <c r="P288" s="6" t="str">
        <f t="shared" si="13"/>
        <v>OK</v>
      </c>
      <c r="Q288" s="12">
        <f>INDEX(Calendario!$B$5:$B$16,MATCH($A288,Calendario!$A$5:$A$16,0))</f>
        <v>46440</v>
      </c>
      <c r="R288" s="12">
        <f>INDEX(Calendario!$C$5:$C$16,MATCH($A288,Calendario!$A$5:$A$16,0))</f>
        <v>46451</v>
      </c>
      <c r="S288" s="6" t="str">
        <f t="shared" si="14"/>
        <v>22/02/YYYY - 23/02/YYYY</v>
      </c>
    </row>
    <row r="289" spans="1:19" ht="15.75" thickBot="1" x14ac:dyDescent="0.3">
      <c r="A289" s="6">
        <v>12</v>
      </c>
      <c r="B289" s="13" t="str">
        <f>Alumnos!B25</f>
        <v>Alumno 24</v>
      </c>
      <c r="C289" s="13"/>
      <c r="D289" s="13"/>
      <c r="E289" s="13"/>
      <c r="F289" s="13"/>
      <c r="G289" s="22"/>
      <c r="H289" s="29"/>
      <c r="I289" s="35"/>
      <c r="J289" s="35"/>
      <c r="K289" s="35"/>
      <c r="L289" s="35"/>
      <c r="M289" s="35"/>
      <c r="N289" s="6"/>
      <c r="O289" s="23" t="str">
        <f t="shared" si="12"/>
        <v>FALTA</v>
      </c>
      <c r="P289" s="6" t="str">
        <f t="shared" si="13"/>
        <v>OK</v>
      </c>
      <c r="Q289" s="12">
        <f>INDEX(Calendario!$B$5:$B$16,MATCH($A289,Calendario!$A$5:$A$16,0))</f>
        <v>46440</v>
      </c>
      <c r="R289" s="12">
        <f>INDEX(Calendario!$C$5:$C$16,MATCH($A289,Calendario!$A$5:$A$16,0))</f>
        <v>46451</v>
      </c>
      <c r="S289" s="6" t="str">
        <f t="shared" si="14"/>
        <v>22/02/YYYY - 23/02/YYYY</v>
      </c>
    </row>
  </sheetData>
  <phoneticPr fontId="9" type="noConversion"/>
  <conditionalFormatting sqref="O2:P289">
    <cfRule type="cellIs" dxfId="3" priority="2" operator="equal">
      <formula>"OK"</formula>
    </cfRule>
    <cfRule type="cellIs" dxfId="2" priority="3" operator="notEqual">
      <formula>"OK"</formula>
    </cfRule>
  </conditionalFormatting>
  <dataValidations count="1">
    <dataValidation allowBlank="1" showErrorMessage="1" errorTitle="Alumno invalido" error="Elige un alumno de la lista" sqref="I1:M1048576" xr:uid="{19F926BA-F016-432A-A751-C61F869DDA7C}"/>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ErrorMessage="1" errorTitle="Alumno invalido" error="Elige un alumno de la lista" xr:uid="{00000000-0002-0000-0600-000000000000}">
          <x14:formula1>
            <xm:f>Alumnos!$B$2:$B$25</xm:f>
          </x14:formula1>
          <x14:formula2>
            <xm:f>0</xm:f>
          </x14:formula2>
          <xm:sqref>C2:H289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25"/>
  <sheetViews>
    <sheetView zoomScaleNormal="100"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8.7109375" defaultRowHeight="15" x14ac:dyDescent="0.25"/>
  <cols>
    <col min="1" max="1" width="20" customWidth="1"/>
    <col min="2" max="13" width="8" customWidth="1"/>
    <col min="14" max="14" width="15" customWidth="1"/>
  </cols>
  <sheetData>
    <row r="1" spans="1:14" ht="30" x14ac:dyDescent="0.25">
      <c r="A1" s="5" t="s">
        <v>60</v>
      </c>
      <c r="B1" s="5">
        <v>1</v>
      </c>
      <c r="C1" s="5">
        <v>2</v>
      </c>
      <c r="D1" s="5">
        <v>3</v>
      </c>
      <c r="E1" s="5">
        <v>4</v>
      </c>
      <c r="F1" s="5">
        <v>5</v>
      </c>
      <c r="G1" s="5">
        <v>6</v>
      </c>
      <c r="H1" s="5">
        <v>7</v>
      </c>
      <c r="I1" s="5">
        <v>8</v>
      </c>
      <c r="J1" s="5">
        <v>9</v>
      </c>
      <c r="K1" s="5">
        <v>10</v>
      </c>
      <c r="L1" s="5">
        <v>11</v>
      </c>
      <c r="M1" s="5">
        <v>12</v>
      </c>
      <c r="N1" s="5" t="s">
        <v>62</v>
      </c>
    </row>
    <row r="2" spans="1:14" x14ac:dyDescent="0.25">
      <c r="A2" s="13" t="str">
        <f>Alumnos!B2</f>
        <v>Alumno 1</v>
      </c>
      <c r="B2" s="6">
        <f>SUMIFS(Eventos!$E$2:$E$401,Eventos!$C$2:$C$401,$A2,Eventos!$B$2:$B$401,B$1)</f>
        <v>8</v>
      </c>
      <c r="C2" s="6">
        <f>SUMIFS(Eventos!$E$2:$E$401,Eventos!$C$2:$C$401,$A2,Eventos!$B$2:$B$401,C$1)</f>
        <v>0</v>
      </c>
      <c r="D2" s="6">
        <f>SUMIFS(Eventos!$E$2:$E$401,Eventos!$C$2:$C$401,$A2,Eventos!$B$2:$B$401,D$1)</f>
        <v>0</v>
      </c>
      <c r="E2" s="6">
        <f>SUMIFS(Eventos!$E$2:$E$401,Eventos!$C$2:$C$401,$A2,Eventos!$B$2:$B$401,E$1)</f>
        <v>0</v>
      </c>
      <c r="F2" s="6">
        <f>SUMIFS(Eventos!$E$2:$E$401,Eventos!$C$2:$C$401,$A2,Eventos!$B$2:$B$401,F$1)</f>
        <v>0</v>
      </c>
      <c r="G2" s="6">
        <f>SUMIFS(Eventos!$E$2:$E$401,Eventos!$C$2:$C$401,$A2,Eventos!$B$2:$B$401,G$1)</f>
        <v>0</v>
      </c>
      <c r="H2" s="6">
        <f>SUMIFS(Eventos!$E$2:$E$401,Eventos!$C$2:$C$401,$A2,Eventos!$B$2:$B$401,H$1)</f>
        <v>0</v>
      </c>
      <c r="I2" s="6">
        <f>SUMIFS(Eventos!$E$2:$E$401,Eventos!$C$2:$C$401,$A2,Eventos!$B$2:$B$401,I$1)</f>
        <v>0</v>
      </c>
      <c r="J2" s="6">
        <f>SUMIFS(Eventos!$E$2:$E$401,Eventos!$C$2:$C$401,$A2,Eventos!$B$2:$B$401,J$1)</f>
        <v>0</v>
      </c>
      <c r="K2" s="6">
        <f>SUMIFS(Eventos!$E$2:$E$401,Eventos!$C$2:$C$401,$A2,Eventos!$B$2:$B$401,K$1)</f>
        <v>0</v>
      </c>
      <c r="L2" s="6">
        <f>SUMIFS(Eventos!$E$2:$E$401,Eventos!$C$2:$C$401,$A2,Eventos!$B$2:$B$401,L$1)</f>
        <v>0</v>
      </c>
      <c r="M2" s="6">
        <f>SUMIFS(Eventos!$E$2:$E$401,Eventos!$C$2:$C$401,$A2,Eventos!$B$2:$B$401,M$1)</f>
        <v>0</v>
      </c>
      <c r="N2" s="14">
        <f t="shared" ref="N2:N25" si="0">SUM(B2:M2)</f>
        <v>8</v>
      </c>
    </row>
    <row r="3" spans="1:14" x14ac:dyDescent="0.25">
      <c r="A3" s="13" t="str">
        <f>Alumnos!B3</f>
        <v>Alumno 2</v>
      </c>
      <c r="B3" s="6">
        <f>SUMIFS(Eventos!$E$2:$E$401,Eventos!$C$2:$C$401,$A3,Eventos!$B$2:$B$401,B$1)</f>
        <v>0</v>
      </c>
      <c r="C3" s="6">
        <f>SUMIFS(Eventos!$E$2:$E$401,Eventos!$C$2:$C$401,$A3,Eventos!$B$2:$B$401,C$1)</f>
        <v>0</v>
      </c>
      <c r="D3" s="6">
        <f>SUMIFS(Eventos!$E$2:$E$401,Eventos!$C$2:$C$401,$A3,Eventos!$B$2:$B$401,D$1)</f>
        <v>0</v>
      </c>
      <c r="E3" s="6">
        <f>SUMIFS(Eventos!$E$2:$E$401,Eventos!$C$2:$C$401,$A3,Eventos!$B$2:$B$401,E$1)</f>
        <v>0</v>
      </c>
      <c r="F3" s="6">
        <f>SUMIFS(Eventos!$E$2:$E$401,Eventos!$C$2:$C$401,$A3,Eventos!$B$2:$B$401,F$1)</f>
        <v>0</v>
      </c>
      <c r="G3" s="6">
        <f>SUMIFS(Eventos!$E$2:$E$401,Eventos!$C$2:$C$401,$A3,Eventos!$B$2:$B$401,G$1)</f>
        <v>0</v>
      </c>
      <c r="H3" s="6">
        <f>SUMIFS(Eventos!$E$2:$E$401,Eventos!$C$2:$C$401,$A3,Eventos!$B$2:$B$401,H$1)</f>
        <v>0</v>
      </c>
      <c r="I3" s="6">
        <f>SUMIFS(Eventos!$E$2:$E$401,Eventos!$C$2:$C$401,$A3,Eventos!$B$2:$B$401,I$1)</f>
        <v>0</v>
      </c>
      <c r="J3" s="6">
        <f>SUMIFS(Eventos!$E$2:$E$401,Eventos!$C$2:$C$401,$A3,Eventos!$B$2:$B$401,J$1)</f>
        <v>0</v>
      </c>
      <c r="K3" s="6">
        <f>SUMIFS(Eventos!$E$2:$E$401,Eventos!$C$2:$C$401,$A3,Eventos!$B$2:$B$401,K$1)</f>
        <v>0</v>
      </c>
      <c r="L3" s="6">
        <f>SUMIFS(Eventos!$E$2:$E$401,Eventos!$C$2:$C$401,$A3,Eventos!$B$2:$B$401,L$1)</f>
        <v>0</v>
      </c>
      <c r="M3" s="6">
        <f>SUMIFS(Eventos!$E$2:$E$401,Eventos!$C$2:$C$401,$A3,Eventos!$B$2:$B$401,M$1)</f>
        <v>0</v>
      </c>
      <c r="N3" s="14">
        <f t="shared" si="0"/>
        <v>0</v>
      </c>
    </row>
    <row r="4" spans="1:14" x14ac:dyDescent="0.25">
      <c r="A4" s="13" t="str">
        <f>Alumnos!B4</f>
        <v>Alumno 3</v>
      </c>
      <c r="B4" s="6">
        <f>SUMIFS(Eventos!$E$2:$E$401,Eventos!$C$2:$C$401,$A4,Eventos!$B$2:$B$401,B$1)</f>
        <v>0</v>
      </c>
      <c r="C4" s="6">
        <f>SUMIFS(Eventos!$E$2:$E$401,Eventos!$C$2:$C$401,$A4,Eventos!$B$2:$B$401,C$1)</f>
        <v>0</v>
      </c>
      <c r="D4" s="6">
        <f>SUMIFS(Eventos!$E$2:$E$401,Eventos!$C$2:$C$401,$A4,Eventos!$B$2:$B$401,D$1)</f>
        <v>0</v>
      </c>
      <c r="E4" s="6">
        <f>SUMIFS(Eventos!$E$2:$E$401,Eventos!$C$2:$C$401,$A4,Eventos!$B$2:$B$401,E$1)</f>
        <v>0</v>
      </c>
      <c r="F4" s="6">
        <f>SUMIFS(Eventos!$E$2:$E$401,Eventos!$C$2:$C$401,$A4,Eventos!$B$2:$B$401,F$1)</f>
        <v>0</v>
      </c>
      <c r="G4" s="6">
        <f>SUMIFS(Eventos!$E$2:$E$401,Eventos!$C$2:$C$401,$A4,Eventos!$B$2:$B$401,G$1)</f>
        <v>0</v>
      </c>
      <c r="H4" s="6">
        <f>SUMIFS(Eventos!$E$2:$E$401,Eventos!$C$2:$C$401,$A4,Eventos!$B$2:$B$401,H$1)</f>
        <v>0</v>
      </c>
      <c r="I4" s="6">
        <f>SUMIFS(Eventos!$E$2:$E$401,Eventos!$C$2:$C$401,$A4,Eventos!$B$2:$B$401,I$1)</f>
        <v>0</v>
      </c>
      <c r="J4" s="6">
        <f>SUMIFS(Eventos!$E$2:$E$401,Eventos!$C$2:$C$401,$A4,Eventos!$B$2:$B$401,J$1)</f>
        <v>0</v>
      </c>
      <c r="K4" s="6">
        <f>SUMIFS(Eventos!$E$2:$E$401,Eventos!$C$2:$C$401,$A4,Eventos!$B$2:$B$401,K$1)</f>
        <v>0</v>
      </c>
      <c r="L4" s="6">
        <f>SUMIFS(Eventos!$E$2:$E$401,Eventos!$C$2:$C$401,$A4,Eventos!$B$2:$B$401,L$1)</f>
        <v>0</v>
      </c>
      <c r="M4" s="6">
        <f>SUMIFS(Eventos!$E$2:$E$401,Eventos!$C$2:$C$401,$A4,Eventos!$B$2:$B$401,M$1)</f>
        <v>0</v>
      </c>
      <c r="N4" s="14">
        <f t="shared" si="0"/>
        <v>0</v>
      </c>
    </row>
    <row r="5" spans="1:14" x14ac:dyDescent="0.25">
      <c r="A5" s="13" t="str">
        <f>Alumnos!B5</f>
        <v>Alumno 4</v>
      </c>
      <c r="B5" s="6">
        <f>SUMIFS(Eventos!$E$2:$E$401,Eventos!$C$2:$C$401,$A5,Eventos!$B$2:$B$401,B$1)</f>
        <v>0</v>
      </c>
      <c r="C5" s="6">
        <f>SUMIFS(Eventos!$E$2:$E$401,Eventos!$C$2:$C$401,$A5,Eventos!$B$2:$B$401,C$1)</f>
        <v>0</v>
      </c>
      <c r="D5" s="6">
        <f>SUMIFS(Eventos!$E$2:$E$401,Eventos!$C$2:$C$401,$A5,Eventos!$B$2:$B$401,D$1)</f>
        <v>0</v>
      </c>
      <c r="E5" s="6">
        <f>SUMIFS(Eventos!$E$2:$E$401,Eventos!$C$2:$C$401,$A5,Eventos!$B$2:$B$401,E$1)</f>
        <v>0</v>
      </c>
      <c r="F5" s="6">
        <f>SUMIFS(Eventos!$E$2:$E$401,Eventos!$C$2:$C$401,$A5,Eventos!$B$2:$B$401,F$1)</f>
        <v>0</v>
      </c>
      <c r="G5" s="6">
        <f>SUMIFS(Eventos!$E$2:$E$401,Eventos!$C$2:$C$401,$A5,Eventos!$B$2:$B$401,G$1)</f>
        <v>0</v>
      </c>
      <c r="H5" s="6">
        <f>SUMIFS(Eventos!$E$2:$E$401,Eventos!$C$2:$C$401,$A5,Eventos!$B$2:$B$401,H$1)</f>
        <v>0</v>
      </c>
      <c r="I5" s="6">
        <f>SUMIFS(Eventos!$E$2:$E$401,Eventos!$C$2:$C$401,$A5,Eventos!$B$2:$B$401,I$1)</f>
        <v>0</v>
      </c>
      <c r="J5" s="6">
        <f>SUMIFS(Eventos!$E$2:$E$401,Eventos!$C$2:$C$401,$A5,Eventos!$B$2:$B$401,J$1)</f>
        <v>0</v>
      </c>
      <c r="K5" s="6">
        <f>SUMIFS(Eventos!$E$2:$E$401,Eventos!$C$2:$C$401,$A5,Eventos!$B$2:$B$401,K$1)</f>
        <v>0</v>
      </c>
      <c r="L5" s="6">
        <f>SUMIFS(Eventos!$E$2:$E$401,Eventos!$C$2:$C$401,$A5,Eventos!$B$2:$B$401,L$1)</f>
        <v>0</v>
      </c>
      <c r="M5" s="6">
        <f>SUMIFS(Eventos!$E$2:$E$401,Eventos!$C$2:$C$401,$A5,Eventos!$B$2:$B$401,M$1)</f>
        <v>0</v>
      </c>
      <c r="N5" s="14">
        <f t="shared" si="0"/>
        <v>0</v>
      </c>
    </row>
    <row r="6" spans="1:14" x14ac:dyDescent="0.25">
      <c r="A6" s="13" t="str">
        <f>Alumnos!B6</f>
        <v>Alumno 5</v>
      </c>
      <c r="B6" s="6">
        <f>SUMIFS(Eventos!$E$2:$E$401,Eventos!$C$2:$C$401,$A6,Eventos!$B$2:$B$401,B$1)</f>
        <v>0</v>
      </c>
      <c r="C6" s="6">
        <f>SUMIFS(Eventos!$E$2:$E$401,Eventos!$C$2:$C$401,$A6,Eventos!$B$2:$B$401,C$1)</f>
        <v>0</v>
      </c>
      <c r="D6" s="6">
        <f>SUMIFS(Eventos!$E$2:$E$401,Eventos!$C$2:$C$401,$A6,Eventos!$B$2:$B$401,D$1)</f>
        <v>0</v>
      </c>
      <c r="E6" s="6">
        <f>SUMIFS(Eventos!$E$2:$E$401,Eventos!$C$2:$C$401,$A6,Eventos!$B$2:$B$401,E$1)</f>
        <v>0</v>
      </c>
      <c r="F6" s="6">
        <f>SUMIFS(Eventos!$E$2:$E$401,Eventos!$C$2:$C$401,$A6,Eventos!$B$2:$B$401,F$1)</f>
        <v>0</v>
      </c>
      <c r="G6" s="6">
        <f>SUMIFS(Eventos!$E$2:$E$401,Eventos!$C$2:$C$401,$A6,Eventos!$B$2:$B$401,G$1)</f>
        <v>0</v>
      </c>
      <c r="H6" s="6">
        <f>SUMIFS(Eventos!$E$2:$E$401,Eventos!$C$2:$C$401,$A6,Eventos!$B$2:$B$401,H$1)</f>
        <v>0</v>
      </c>
      <c r="I6" s="6">
        <f>SUMIFS(Eventos!$E$2:$E$401,Eventos!$C$2:$C$401,$A6,Eventos!$B$2:$B$401,I$1)</f>
        <v>0</v>
      </c>
      <c r="J6" s="6">
        <f>SUMIFS(Eventos!$E$2:$E$401,Eventos!$C$2:$C$401,$A6,Eventos!$B$2:$B$401,J$1)</f>
        <v>0</v>
      </c>
      <c r="K6" s="6">
        <f>SUMIFS(Eventos!$E$2:$E$401,Eventos!$C$2:$C$401,$A6,Eventos!$B$2:$B$401,K$1)</f>
        <v>0</v>
      </c>
      <c r="L6" s="6">
        <f>SUMIFS(Eventos!$E$2:$E$401,Eventos!$C$2:$C$401,$A6,Eventos!$B$2:$B$401,L$1)</f>
        <v>0</v>
      </c>
      <c r="M6" s="6">
        <f>SUMIFS(Eventos!$E$2:$E$401,Eventos!$C$2:$C$401,$A6,Eventos!$B$2:$B$401,M$1)</f>
        <v>0</v>
      </c>
      <c r="N6" s="14">
        <f t="shared" si="0"/>
        <v>0</v>
      </c>
    </row>
    <row r="7" spans="1:14" x14ac:dyDescent="0.25">
      <c r="A7" s="13" t="str">
        <f>Alumnos!B7</f>
        <v>Alumno 6</v>
      </c>
      <c r="B7" s="6">
        <f>SUMIFS(Eventos!$E$2:$E$401,Eventos!$C$2:$C$401,$A7,Eventos!$B$2:$B$401,B$1)</f>
        <v>0</v>
      </c>
      <c r="C7" s="6">
        <f>SUMIFS(Eventos!$E$2:$E$401,Eventos!$C$2:$C$401,$A7,Eventos!$B$2:$B$401,C$1)</f>
        <v>0</v>
      </c>
      <c r="D7" s="6">
        <f>SUMIFS(Eventos!$E$2:$E$401,Eventos!$C$2:$C$401,$A7,Eventos!$B$2:$B$401,D$1)</f>
        <v>0</v>
      </c>
      <c r="E7" s="6">
        <f>SUMIFS(Eventos!$E$2:$E$401,Eventos!$C$2:$C$401,$A7,Eventos!$B$2:$B$401,E$1)</f>
        <v>0</v>
      </c>
      <c r="F7" s="6">
        <f>SUMIFS(Eventos!$E$2:$E$401,Eventos!$C$2:$C$401,$A7,Eventos!$B$2:$B$401,F$1)</f>
        <v>0</v>
      </c>
      <c r="G7" s="6">
        <f>SUMIFS(Eventos!$E$2:$E$401,Eventos!$C$2:$C$401,$A7,Eventos!$B$2:$B$401,G$1)</f>
        <v>0</v>
      </c>
      <c r="H7" s="6">
        <f>SUMIFS(Eventos!$E$2:$E$401,Eventos!$C$2:$C$401,$A7,Eventos!$B$2:$B$401,H$1)</f>
        <v>0</v>
      </c>
      <c r="I7" s="6">
        <f>SUMIFS(Eventos!$E$2:$E$401,Eventos!$C$2:$C$401,$A7,Eventos!$B$2:$B$401,I$1)</f>
        <v>0</v>
      </c>
      <c r="J7" s="6">
        <f>SUMIFS(Eventos!$E$2:$E$401,Eventos!$C$2:$C$401,$A7,Eventos!$B$2:$B$401,J$1)</f>
        <v>0</v>
      </c>
      <c r="K7" s="6">
        <f>SUMIFS(Eventos!$E$2:$E$401,Eventos!$C$2:$C$401,$A7,Eventos!$B$2:$B$401,K$1)</f>
        <v>0</v>
      </c>
      <c r="L7" s="6">
        <f>SUMIFS(Eventos!$E$2:$E$401,Eventos!$C$2:$C$401,$A7,Eventos!$B$2:$B$401,L$1)</f>
        <v>0</v>
      </c>
      <c r="M7" s="6">
        <f>SUMIFS(Eventos!$E$2:$E$401,Eventos!$C$2:$C$401,$A7,Eventos!$B$2:$B$401,M$1)</f>
        <v>0</v>
      </c>
      <c r="N7" s="14">
        <f t="shared" si="0"/>
        <v>0</v>
      </c>
    </row>
    <row r="8" spans="1:14" x14ac:dyDescent="0.25">
      <c r="A8" s="13" t="str">
        <f>Alumnos!B8</f>
        <v>Alumno 7</v>
      </c>
      <c r="B8" s="6">
        <f>SUMIFS(Eventos!$E$2:$E$401,Eventos!$C$2:$C$401,$A8,Eventos!$B$2:$B$401,B$1)</f>
        <v>0</v>
      </c>
      <c r="C8" s="6">
        <f>SUMIFS(Eventos!$E$2:$E$401,Eventos!$C$2:$C$401,$A8,Eventos!$B$2:$B$401,C$1)</f>
        <v>0</v>
      </c>
      <c r="D8" s="6">
        <f>SUMIFS(Eventos!$E$2:$E$401,Eventos!$C$2:$C$401,$A8,Eventos!$B$2:$B$401,D$1)</f>
        <v>0</v>
      </c>
      <c r="E8" s="6">
        <f>SUMIFS(Eventos!$E$2:$E$401,Eventos!$C$2:$C$401,$A8,Eventos!$B$2:$B$401,E$1)</f>
        <v>0</v>
      </c>
      <c r="F8" s="6">
        <f>SUMIFS(Eventos!$E$2:$E$401,Eventos!$C$2:$C$401,$A8,Eventos!$B$2:$B$401,F$1)</f>
        <v>0</v>
      </c>
      <c r="G8" s="6">
        <f>SUMIFS(Eventos!$E$2:$E$401,Eventos!$C$2:$C$401,$A8,Eventos!$B$2:$B$401,G$1)</f>
        <v>0</v>
      </c>
      <c r="H8" s="6">
        <f>SUMIFS(Eventos!$E$2:$E$401,Eventos!$C$2:$C$401,$A8,Eventos!$B$2:$B$401,H$1)</f>
        <v>0</v>
      </c>
      <c r="I8" s="6">
        <f>SUMIFS(Eventos!$E$2:$E$401,Eventos!$C$2:$C$401,$A8,Eventos!$B$2:$B$401,I$1)</f>
        <v>0</v>
      </c>
      <c r="J8" s="6">
        <f>SUMIFS(Eventos!$E$2:$E$401,Eventos!$C$2:$C$401,$A8,Eventos!$B$2:$B$401,J$1)</f>
        <v>0</v>
      </c>
      <c r="K8" s="6">
        <f>SUMIFS(Eventos!$E$2:$E$401,Eventos!$C$2:$C$401,$A8,Eventos!$B$2:$B$401,K$1)</f>
        <v>0</v>
      </c>
      <c r="L8" s="6">
        <f>SUMIFS(Eventos!$E$2:$E$401,Eventos!$C$2:$C$401,$A8,Eventos!$B$2:$B$401,L$1)</f>
        <v>0</v>
      </c>
      <c r="M8" s="6">
        <f>SUMIFS(Eventos!$E$2:$E$401,Eventos!$C$2:$C$401,$A8,Eventos!$B$2:$B$401,M$1)</f>
        <v>0</v>
      </c>
      <c r="N8" s="14">
        <f t="shared" si="0"/>
        <v>0</v>
      </c>
    </row>
    <row r="9" spans="1:14" x14ac:dyDescent="0.25">
      <c r="A9" s="13" t="str">
        <f>Alumnos!B9</f>
        <v>Alumno 8</v>
      </c>
      <c r="B9" s="6">
        <f>SUMIFS(Eventos!$E$2:$E$401,Eventos!$C$2:$C$401,$A9,Eventos!$B$2:$B$401,B$1)</f>
        <v>0</v>
      </c>
      <c r="C9" s="6">
        <f>SUMIFS(Eventos!$E$2:$E$401,Eventos!$C$2:$C$401,$A9,Eventos!$B$2:$B$401,C$1)</f>
        <v>0</v>
      </c>
      <c r="D9" s="6">
        <f>SUMIFS(Eventos!$E$2:$E$401,Eventos!$C$2:$C$401,$A9,Eventos!$B$2:$B$401,D$1)</f>
        <v>0</v>
      </c>
      <c r="E9" s="6">
        <f>SUMIFS(Eventos!$E$2:$E$401,Eventos!$C$2:$C$401,$A9,Eventos!$B$2:$B$401,E$1)</f>
        <v>0</v>
      </c>
      <c r="F9" s="6">
        <f>SUMIFS(Eventos!$E$2:$E$401,Eventos!$C$2:$C$401,$A9,Eventos!$B$2:$B$401,F$1)</f>
        <v>0</v>
      </c>
      <c r="G9" s="6">
        <f>SUMIFS(Eventos!$E$2:$E$401,Eventos!$C$2:$C$401,$A9,Eventos!$B$2:$B$401,G$1)</f>
        <v>0</v>
      </c>
      <c r="H9" s="6">
        <f>SUMIFS(Eventos!$E$2:$E$401,Eventos!$C$2:$C$401,$A9,Eventos!$B$2:$B$401,H$1)</f>
        <v>0</v>
      </c>
      <c r="I9" s="6">
        <f>SUMIFS(Eventos!$E$2:$E$401,Eventos!$C$2:$C$401,$A9,Eventos!$B$2:$B$401,I$1)</f>
        <v>0</v>
      </c>
      <c r="J9" s="6">
        <f>SUMIFS(Eventos!$E$2:$E$401,Eventos!$C$2:$C$401,$A9,Eventos!$B$2:$B$401,J$1)</f>
        <v>0</v>
      </c>
      <c r="K9" s="6">
        <f>SUMIFS(Eventos!$E$2:$E$401,Eventos!$C$2:$C$401,$A9,Eventos!$B$2:$B$401,K$1)</f>
        <v>0</v>
      </c>
      <c r="L9" s="6">
        <f>SUMIFS(Eventos!$E$2:$E$401,Eventos!$C$2:$C$401,$A9,Eventos!$B$2:$B$401,L$1)</f>
        <v>0</v>
      </c>
      <c r="M9" s="6">
        <f>SUMIFS(Eventos!$E$2:$E$401,Eventos!$C$2:$C$401,$A9,Eventos!$B$2:$B$401,M$1)</f>
        <v>0</v>
      </c>
      <c r="N9" s="14">
        <f t="shared" si="0"/>
        <v>0</v>
      </c>
    </row>
    <row r="10" spans="1:14" x14ac:dyDescent="0.25">
      <c r="A10" s="13" t="str">
        <f>Alumnos!B10</f>
        <v>Alumno 9</v>
      </c>
      <c r="B10" s="6">
        <f>SUMIFS(Eventos!$E$2:$E$401,Eventos!$C$2:$C$401,$A10,Eventos!$B$2:$B$401,B$1)</f>
        <v>0</v>
      </c>
      <c r="C10" s="6">
        <f>SUMIFS(Eventos!$E$2:$E$401,Eventos!$C$2:$C$401,$A10,Eventos!$B$2:$B$401,C$1)</f>
        <v>0</v>
      </c>
      <c r="D10" s="6">
        <f>SUMIFS(Eventos!$E$2:$E$401,Eventos!$C$2:$C$401,$A10,Eventos!$B$2:$B$401,D$1)</f>
        <v>0</v>
      </c>
      <c r="E10" s="6">
        <f>SUMIFS(Eventos!$E$2:$E$401,Eventos!$C$2:$C$401,$A10,Eventos!$B$2:$B$401,E$1)</f>
        <v>0</v>
      </c>
      <c r="F10" s="6">
        <f>SUMIFS(Eventos!$E$2:$E$401,Eventos!$C$2:$C$401,$A10,Eventos!$B$2:$B$401,F$1)</f>
        <v>0</v>
      </c>
      <c r="G10" s="6">
        <f>SUMIFS(Eventos!$E$2:$E$401,Eventos!$C$2:$C$401,$A10,Eventos!$B$2:$B$401,G$1)</f>
        <v>0</v>
      </c>
      <c r="H10" s="6">
        <f>SUMIFS(Eventos!$E$2:$E$401,Eventos!$C$2:$C$401,$A10,Eventos!$B$2:$B$401,H$1)</f>
        <v>0</v>
      </c>
      <c r="I10" s="6">
        <f>SUMIFS(Eventos!$E$2:$E$401,Eventos!$C$2:$C$401,$A10,Eventos!$B$2:$B$401,I$1)</f>
        <v>0</v>
      </c>
      <c r="J10" s="6">
        <f>SUMIFS(Eventos!$E$2:$E$401,Eventos!$C$2:$C$401,$A10,Eventos!$B$2:$B$401,J$1)</f>
        <v>0</v>
      </c>
      <c r="K10" s="6">
        <f>SUMIFS(Eventos!$E$2:$E$401,Eventos!$C$2:$C$401,$A10,Eventos!$B$2:$B$401,K$1)</f>
        <v>0</v>
      </c>
      <c r="L10" s="6">
        <f>SUMIFS(Eventos!$E$2:$E$401,Eventos!$C$2:$C$401,$A10,Eventos!$B$2:$B$401,L$1)</f>
        <v>0</v>
      </c>
      <c r="M10" s="6">
        <f>SUMIFS(Eventos!$E$2:$E$401,Eventos!$C$2:$C$401,$A10,Eventos!$B$2:$B$401,M$1)</f>
        <v>0</v>
      </c>
      <c r="N10" s="14">
        <f t="shared" si="0"/>
        <v>0</v>
      </c>
    </row>
    <row r="11" spans="1:14" x14ac:dyDescent="0.25">
      <c r="A11" s="13" t="str">
        <f>Alumnos!B11</f>
        <v>Alumno 10</v>
      </c>
      <c r="B11" s="6">
        <f>SUMIFS(Eventos!$E$2:$E$401,Eventos!$C$2:$C$401,$A11,Eventos!$B$2:$B$401,B$1)</f>
        <v>0</v>
      </c>
      <c r="C11" s="6">
        <f>SUMIFS(Eventos!$E$2:$E$401,Eventos!$C$2:$C$401,$A11,Eventos!$B$2:$B$401,C$1)</f>
        <v>0</v>
      </c>
      <c r="D11" s="6">
        <f>SUMIFS(Eventos!$E$2:$E$401,Eventos!$C$2:$C$401,$A11,Eventos!$B$2:$B$401,D$1)</f>
        <v>0</v>
      </c>
      <c r="E11" s="6">
        <f>SUMIFS(Eventos!$E$2:$E$401,Eventos!$C$2:$C$401,$A11,Eventos!$B$2:$B$401,E$1)</f>
        <v>0</v>
      </c>
      <c r="F11" s="6">
        <f>SUMIFS(Eventos!$E$2:$E$401,Eventos!$C$2:$C$401,$A11,Eventos!$B$2:$B$401,F$1)</f>
        <v>0</v>
      </c>
      <c r="G11" s="6">
        <f>SUMIFS(Eventos!$E$2:$E$401,Eventos!$C$2:$C$401,$A11,Eventos!$B$2:$B$401,G$1)</f>
        <v>0</v>
      </c>
      <c r="H11" s="6">
        <f>SUMIFS(Eventos!$E$2:$E$401,Eventos!$C$2:$C$401,$A11,Eventos!$B$2:$B$401,H$1)</f>
        <v>0</v>
      </c>
      <c r="I11" s="6">
        <f>SUMIFS(Eventos!$E$2:$E$401,Eventos!$C$2:$C$401,$A11,Eventos!$B$2:$B$401,I$1)</f>
        <v>0</v>
      </c>
      <c r="J11" s="6">
        <f>SUMIFS(Eventos!$E$2:$E$401,Eventos!$C$2:$C$401,$A11,Eventos!$B$2:$B$401,J$1)</f>
        <v>0</v>
      </c>
      <c r="K11" s="6">
        <f>SUMIFS(Eventos!$E$2:$E$401,Eventos!$C$2:$C$401,$A11,Eventos!$B$2:$B$401,K$1)</f>
        <v>0</v>
      </c>
      <c r="L11" s="6">
        <f>SUMIFS(Eventos!$E$2:$E$401,Eventos!$C$2:$C$401,$A11,Eventos!$B$2:$B$401,L$1)</f>
        <v>0</v>
      </c>
      <c r="M11" s="6">
        <f>SUMIFS(Eventos!$E$2:$E$401,Eventos!$C$2:$C$401,$A11,Eventos!$B$2:$B$401,M$1)</f>
        <v>0</v>
      </c>
      <c r="N11" s="14">
        <f t="shared" si="0"/>
        <v>0</v>
      </c>
    </row>
    <row r="12" spans="1:14" x14ac:dyDescent="0.25">
      <c r="A12" s="13" t="str">
        <f>Alumnos!B12</f>
        <v>Alumno 11</v>
      </c>
      <c r="B12" s="6">
        <f>SUMIFS(Eventos!$E$2:$E$401,Eventos!$C$2:$C$401,$A12,Eventos!$B$2:$B$401,B$1)</f>
        <v>0</v>
      </c>
      <c r="C12" s="6">
        <f>SUMIFS(Eventos!$E$2:$E$401,Eventos!$C$2:$C$401,$A12,Eventos!$B$2:$B$401,C$1)</f>
        <v>0</v>
      </c>
      <c r="D12" s="6">
        <f>SUMIFS(Eventos!$E$2:$E$401,Eventos!$C$2:$C$401,$A12,Eventos!$B$2:$B$401,D$1)</f>
        <v>0</v>
      </c>
      <c r="E12" s="6">
        <f>SUMIFS(Eventos!$E$2:$E$401,Eventos!$C$2:$C$401,$A12,Eventos!$B$2:$B$401,E$1)</f>
        <v>0</v>
      </c>
      <c r="F12" s="6">
        <f>SUMIFS(Eventos!$E$2:$E$401,Eventos!$C$2:$C$401,$A12,Eventos!$B$2:$B$401,F$1)</f>
        <v>0</v>
      </c>
      <c r="G12" s="6">
        <f>SUMIFS(Eventos!$E$2:$E$401,Eventos!$C$2:$C$401,$A12,Eventos!$B$2:$B$401,G$1)</f>
        <v>0</v>
      </c>
      <c r="H12" s="6">
        <f>SUMIFS(Eventos!$E$2:$E$401,Eventos!$C$2:$C$401,$A12,Eventos!$B$2:$B$401,H$1)</f>
        <v>0</v>
      </c>
      <c r="I12" s="6">
        <f>SUMIFS(Eventos!$E$2:$E$401,Eventos!$C$2:$C$401,$A12,Eventos!$B$2:$B$401,I$1)</f>
        <v>0</v>
      </c>
      <c r="J12" s="6">
        <f>SUMIFS(Eventos!$E$2:$E$401,Eventos!$C$2:$C$401,$A12,Eventos!$B$2:$B$401,J$1)</f>
        <v>0</v>
      </c>
      <c r="K12" s="6">
        <f>SUMIFS(Eventos!$E$2:$E$401,Eventos!$C$2:$C$401,$A12,Eventos!$B$2:$B$401,K$1)</f>
        <v>0</v>
      </c>
      <c r="L12" s="6">
        <f>SUMIFS(Eventos!$E$2:$E$401,Eventos!$C$2:$C$401,$A12,Eventos!$B$2:$B$401,L$1)</f>
        <v>0</v>
      </c>
      <c r="M12" s="6">
        <f>SUMIFS(Eventos!$E$2:$E$401,Eventos!$C$2:$C$401,$A12,Eventos!$B$2:$B$401,M$1)</f>
        <v>0</v>
      </c>
      <c r="N12" s="14">
        <f t="shared" si="0"/>
        <v>0</v>
      </c>
    </row>
    <row r="13" spans="1:14" x14ac:dyDescent="0.25">
      <c r="A13" s="13" t="str">
        <f>Alumnos!B13</f>
        <v>Alumno 12</v>
      </c>
      <c r="B13" s="6">
        <f>SUMIFS(Eventos!$E$2:$E$401,Eventos!$C$2:$C$401,$A13,Eventos!$B$2:$B$401,B$1)</f>
        <v>0</v>
      </c>
      <c r="C13" s="6">
        <f>SUMIFS(Eventos!$E$2:$E$401,Eventos!$C$2:$C$401,$A13,Eventos!$B$2:$B$401,C$1)</f>
        <v>0</v>
      </c>
      <c r="D13" s="6">
        <f>SUMIFS(Eventos!$E$2:$E$401,Eventos!$C$2:$C$401,$A13,Eventos!$B$2:$B$401,D$1)</f>
        <v>0</v>
      </c>
      <c r="E13" s="6">
        <f>SUMIFS(Eventos!$E$2:$E$401,Eventos!$C$2:$C$401,$A13,Eventos!$B$2:$B$401,E$1)</f>
        <v>0</v>
      </c>
      <c r="F13" s="6">
        <f>SUMIFS(Eventos!$E$2:$E$401,Eventos!$C$2:$C$401,$A13,Eventos!$B$2:$B$401,F$1)</f>
        <v>0</v>
      </c>
      <c r="G13" s="6">
        <f>SUMIFS(Eventos!$E$2:$E$401,Eventos!$C$2:$C$401,$A13,Eventos!$B$2:$B$401,G$1)</f>
        <v>0</v>
      </c>
      <c r="H13" s="6">
        <f>SUMIFS(Eventos!$E$2:$E$401,Eventos!$C$2:$C$401,$A13,Eventos!$B$2:$B$401,H$1)</f>
        <v>0</v>
      </c>
      <c r="I13" s="6">
        <f>SUMIFS(Eventos!$E$2:$E$401,Eventos!$C$2:$C$401,$A13,Eventos!$B$2:$B$401,I$1)</f>
        <v>0</v>
      </c>
      <c r="J13" s="6">
        <f>SUMIFS(Eventos!$E$2:$E$401,Eventos!$C$2:$C$401,$A13,Eventos!$B$2:$B$401,J$1)</f>
        <v>0</v>
      </c>
      <c r="K13" s="6">
        <f>SUMIFS(Eventos!$E$2:$E$401,Eventos!$C$2:$C$401,$A13,Eventos!$B$2:$B$401,K$1)</f>
        <v>0</v>
      </c>
      <c r="L13" s="6">
        <f>SUMIFS(Eventos!$E$2:$E$401,Eventos!$C$2:$C$401,$A13,Eventos!$B$2:$B$401,L$1)</f>
        <v>0</v>
      </c>
      <c r="M13" s="6">
        <f>SUMIFS(Eventos!$E$2:$E$401,Eventos!$C$2:$C$401,$A13,Eventos!$B$2:$B$401,M$1)</f>
        <v>0</v>
      </c>
      <c r="N13" s="14">
        <f t="shared" si="0"/>
        <v>0</v>
      </c>
    </row>
    <row r="14" spans="1:14" x14ac:dyDescent="0.25">
      <c r="A14" s="13" t="str">
        <f>Alumnos!B14</f>
        <v>Alumno 13</v>
      </c>
      <c r="B14" s="6">
        <f>SUMIFS(Eventos!$E$2:$E$401,Eventos!$C$2:$C$401,$A14,Eventos!$B$2:$B$401,B$1)</f>
        <v>0</v>
      </c>
      <c r="C14" s="6">
        <f>SUMIFS(Eventos!$E$2:$E$401,Eventos!$C$2:$C$401,$A14,Eventos!$B$2:$B$401,C$1)</f>
        <v>0</v>
      </c>
      <c r="D14" s="6">
        <f>SUMIFS(Eventos!$E$2:$E$401,Eventos!$C$2:$C$401,$A14,Eventos!$B$2:$B$401,D$1)</f>
        <v>0</v>
      </c>
      <c r="E14" s="6">
        <f>SUMIFS(Eventos!$E$2:$E$401,Eventos!$C$2:$C$401,$A14,Eventos!$B$2:$B$401,E$1)</f>
        <v>0</v>
      </c>
      <c r="F14" s="6">
        <f>SUMIFS(Eventos!$E$2:$E$401,Eventos!$C$2:$C$401,$A14,Eventos!$B$2:$B$401,F$1)</f>
        <v>0</v>
      </c>
      <c r="G14" s="6">
        <f>SUMIFS(Eventos!$E$2:$E$401,Eventos!$C$2:$C$401,$A14,Eventos!$B$2:$B$401,G$1)</f>
        <v>0</v>
      </c>
      <c r="H14" s="6">
        <f>SUMIFS(Eventos!$E$2:$E$401,Eventos!$C$2:$C$401,$A14,Eventos!$B$2:$B$401,H$1)</f>
        <v>0</v>
      </c>
      <c r="I14" s="6">
        <f>SUMIFS(Eventos!$E$2:$E$401,Eventos!$C$2:$C$401,$A14,Eventos!$B$2:$B$401,I$1)</f>
        <v>0</v>
      </c>
      <c r="J14" s="6">
        <f>SUMIFS(Eventos!$E$2:$E$401,Eventos!$C$2:$C$401,$A14,Eventos!$B$2:$B$401,J$1)</f>
        <v>0</v>
      </c>
      <c r="K14" s="6">
        <f>SUMIFS(Eventos!$E$2:$E$401,Eventos!$C$2:$C$401,$A14,Eventos!$B$2:$B$401,K$1)</f>
        <v>0</v>
      </c>
      <c r="L14" s="6">
        <f>SUMIFS(Eventos!$E$2:$E$401,Eventos!$C$2:$C$401,$A14,Eventos!$B$2:$B$401,L$1)</f>
        <v>0</v>
      </c>
      <c r="M14" s="6">
        <f>SUMIFS(Eventos!$E$2:$E$401,Eventos!$C$2:$C$401,$A14,Eventos!$B$2:$B$401,M$1)</f>
        <v>0</v>
      </c>
      <c r="N14" s="14">
        <f t="shared" si="0"/>
        <v>0</v>
      </c>
    </row>
    <row r="15" spans="1:14" x14ac:dyDescent="0.25">
      <c r="A15" s="13" t="str">
        <f>Alumnos!B15</f>
        <v>Alumno 14</v>
      </c>
      <c r="B15" s="6">
        <f>SUMIFS(Eventos!$E$2:$E$401,Eventos!$C$2:$C$401,$A15,Eventos!$B$2:$B$401,B$1)</f>
        <v>0</v>
      </c>
      <c r="C15" s="6">
        <f>SUMIFS(Eventos!$E$2:$E$401,Eventos!$C$2:$C$401,$A15,Eventos!$B$2:$B$401,C$1)</f>
        <v>0</v>
      </c>
      <c r="D15" s="6">
        <f>SUMIFS(Eventos!$E$2:$E$401,Eventos!$C$2:$C$401,$A15,Eventos!$B$2:$B$401,D$1)</f>
        <v>0</v>
      </c>
      <c r="E15" s="6">
        <f>SUMIFS(Eventos!$E$2:$E$401,Eventos!$C$2:$C$401,$A15,Eventos!$B$2:$B$401,E$1)</f>
        <v>0</v>
      </c>
      <c r="F15" s="6">
        <f>SUMIFS(Eventos!$E$2:$E$401,Eventos!$C$2:$C$401,$A15,Eventos!$B$2:$B$401,F$1)</f>
        <v>0</v>
      </c>
      <c r="G15" s="6">
        <f>SUMIFS(Eventos!$E$2:$E$401,Eventos!$C$2:$C$401,$A15,Eventos!$B$2:$B$401,G$1)</f>
        <v>0</v>
      </c>
      <c r="H15" s="6">
        <f>SUMIFS(Eventos!$E$2:$E$401,Eventos!$C$2:$C$401,$A15,Eventos!$B$2:$B$401,H$1)</f>
        <v>0</v>
      </c>
      <c r="I15" s="6">
        <f>SUMIFS(Eventos!$E$2:$E$401,Eventos!$C$2:$C$401,$A15,Eventos!$B$2:$B$401,I$1)</f>
        <v>0</v>
      </c>
      <c r="J15" s="6">
        <f>SUMIFS(Eventos!$E$2:$E$401,Eventos!$C$2:$C$401,$A15,Eventos!$B$2:$B$401,J$1)</f>
        <v>0</v>
      </c>
      <c r="K15" s="6">
        <f>SUMIFS(Eventos!$E$2:$E$401,Eventos!$C$2:$C$401,$A15,Eventos!$B$2:$B$401,K$1)</f>
        <v>0</v>
      </c>
      <c r="L15" s="6">
        <f>SUMIFS(Eventos!$E$2:$E$401,Eventos!$C$2:$C$401,$A15,Eventos!$B$2:$B$401,L$1)</f>
        <v>0</v>
      </c>
      <c r="M15" s="6">
        <f>SUMIFS(Eventos!$E$2:$E$401,Eventos!$C$2:$C$401,$A15,Eventos!$B$2:$B$401,M$1)</f>
        <v>0</v>
      </c>
      <c r="N15" s="14">
        <f t="shared" si="0"/>
        <v>0</v>
      </c>
    </row>
    <row r="16" spans="1:14" x14ac:dyDescent="0.25">
      <c r="A16" s="13" t="str">
        <f>Alumnos!B16</f>
        <v>Alumno 15</v>
      </c>
      <c r="B16" s="6">
        <f>SUMIFS(Eventos!$E$2:$E$401,Eventos!$C$2:$C$401,$A16,Eventos!$B$2:$B$401,B$1)</f>
        <v>0</v>
      </c>
      <c r="C16" s="6">
        <f>SUMIFS(Eventos!$E$2:$E$401,Eventos!$C$2:$C$401,$A16,Eventos!$B$2:$B$401,C$1)</f>
        <v>0</v>
      </c>
      <c r="D16" s="6">
        <f>SUMIFS(Eventos!$E$2:$E$401,Eventos!$C$2:$C$401,$A16,Eventos!$B$2:$B$401,D$1)</f>
        <v>0</v>
      </c>
      <c r="E16" s="6">
        <f>SUMIFS(Eventos!$E$2:$E$401,Eventos!$C$2:$C$401,$A16,Eventos!$B$2:$B$401,E$1)</f>
        <v>0</v>
      </c>
      <c r="F16" s="6">
        <f>SUMIFS(Eventos!$E$2:$E$401,Eventos!$C$2:$C$401,$A16,Eventos!$B$2:$B$401,F$1)</f>
        <v>0</v>
      </c>
      <c r="G16" s="6">
        <f>SUMIFS(Eventos!$E$2:$E$401,Eventos!$C$2:$C$401,$A16,Eventos!$B$2:$B$401,G$1)</f>
        <v>0</v>
      </c>
      <c r="H16" s="6">
        <f>SUMIFS(Eventos!$E$2:$E$401,Eventos!$C$2:$C$401,$A16,Eventos!$B$2:$B$401,H$1)</f>
        <v>0</v>
      </c>
      <c r="I16" s="6">
        <f>SUMIFS(Eventos!$E$2:$E$401,Eventos!$C$2:$C$401,$A16,Eventos!$B$2:$B$401,I$1)</f>
        <v>0</v>
      </c>
      <c r="J16" s="6">
        <f>SUMIFS(Eventos!$E$2:$E$401,Eventos!$C$2:$C$401,$A16,Eventos!$B$2:$B$401,J$1)</f>
        <v>0</v>
      </c>
      <c r="K16" s="6">
        <f>SUMIFS(Eventos!$E$2:$E$401,Eventos!$C$2:$C$401,$A16,Eventos!$B$2:$B$401,K$1)</f>
        <v>0</v>
      </c>
      <c r="L16" s="6">
        <f>SUMIFS(Eventos!$E$2:$E$401,Eventos!$C$2:$C$401,$A16,Eventos!$B$2:$B$401,L$1)</f>
        <v>0</v>
      </c>
      <c r="M16" s="6">
        <f>SUMIFS(Eventos!$E$2:$E$401,Eventos!$C$2:$C$401,$A16,Eventos!$B$2:$B$401,M$1)</f>
        <v>0</v>
      </c>
      <c r="N16" s="14">
        <f t="shared" si="0"/>
        <v>0</v>
      </c>
    </row>
    <row r="17" spans="1:14" x14ac:dyDescent="0.25">
      <c r="A17" s="13" t="str">
        <f>Alumnos!B17</f>
        <v>Alumno 16</v>
      </c>
      <c r="B17" s="6">
        <f>SUMIFS(Eventos!$E$2:$E$401,Eventos!$C$2:$C$401,$A17,Eventos!$B$2:$B$401,B$1)</f>
        <v>0</v>
      </c>
      <c r="C17" s="6">
        <f>SUMIFS(Eventos!$E$2:$E$401,Eventos!$C$2:$C$401,$A17,Eventos!$B$2:$B$401,C$1)</f>
        <v>0</v>
      </c>
      <c r="D17" s="6">
        <f>SUMIFS(Eventos!$E$2:$E$401,Eventos!$C$2:$C$401,$A17,Eventos!$B$2:$B$401,D$1)</f>
        <v>0</v>
      </c>
      <c r="E17" s="6">
        <f>SUMIFS(Eventos!$E$2:$E$401,Eventos!$C$2:$C$401,$A17,Eventos!$B$2:$B$401,E$1)</f>
        <v>0</v>
      </c>
      <c r="F17" s="6">
        <f>SUMIFS(Eventos!$E$2:$E$401,Eventos!$C$2:$C$401,$A17,Eventos!$B$2:$B$401,F$1)</f>
        <v>0</v>
      </c>
      <c r="G17" s="6">
        <f>SUMIFS(Eventos!$E$2:$E$401,Eventos!$C$2:$C$401,$A17,Eventos!$B$2:$B$401,G$1)</f>
        <v>0</v>
      </c>
      <c r="H17" s="6">
        <f>SUMIFS(Eventos!$E$2:$E$401,Eventos!$C$2:$C$401,$A17,Eventos!$B$2:$B$401,H$1)</f>
        <v>0</v>
      </c>
      <c r="I17" s="6">
        <f>SUMIFS(Eventos!$E$2:$E$401,Eventos!$C$2:$C$401,$A17,Eventos!$B$2:$B$401,I$1)</f>
        <v>0</v>
      </c>
      <c r="J17" s="6">
        <f>SUMIFS(Eventos!$E$2:$E$401,Eventos!$C$2:$C$401,$A17,Eventos!$B$2:$B$401,J$1)</f>
        <v>0</v>
      </c>
      <c r="K17" s="6">
        <f>SUMIFS(Eventos!$E$2:$E$401,Eventos!$C$2:$C$401,$A17,Eventos!$B$2:$B$401,K$1)</f>
        <v>0</v>
      </c>
      <c r="L17" s="6">
        <f>SUMIFS(Eventos!$E$2:$E$401,Eventos!$C$2:$C$401,$A17,Eventos!$B$2:$B$401,L$1)</f>
        <v>0</v>
      </c>
      <c r="M17" s="6">
        <f>SUMIFS(Eventos!$E$2:$E$401,Eventos!$C$2:$C$401,$A17,Eventos!$B$2:$B$401,M$1)</f>
        <v>0</v>
      </c>
      <c r="N17" s="14">
        <f t="shared" si="0"/>
        <v>0</v>
      </c>
    </row>
    <row r="18" spans="1:14" x14ac:dyDescent="0.25">
      <c r="A18" s="13" t="str">
        <f>Alumnos!B18</f>
        <v>Alumno 17</v>
      </c>
      <c r="B18" s="6">
        <f>SUMIFS(Eventos!$E$2:$E$401,Eventos!$C$2:$C$401,$A18,Eventos!$B$2:$B$401,B$1)</f>
        <v>0</v>
      </c>
      <c r="C18" s="6">
        <f>SUMIFS(Eventos!$E$2:$E$401,Eventos!$C$2:$C$401,$A18,Eventos!$B$2:$B$401,C$1)</f>
        <v>0</v>
      </c>
      <c r="D18" s="6">
        <f>SUMIFS(Eventos!$E$2:$E$401,Eventos!$C$2:$C$401,$A18,Eventos!$B$2:$B$401,D$1)</f>
        <v>0</v>
      </c>
      <c r="E18" s="6">
        <f>SUMIFS(Eventos!$E$2:$E$401,Eventos!$C$2:$C$401,$A18,Eventos!$B$2:$B$401,E$1)</f>
        <v>0</v>
      </c>
      <c r="F18" s="6">
        <f>SUMIFS(Eventos!$E$2:$E$401,Eventos!$C$2:$C$401,$A18,Eventos!$B$2:$B$401,F$1)</f>
        <v>0</v>
      </c>
      <c r="G18" s="6">
        <f>SUMIFS(Eventos!$E$2:$E$401,Eventos!$C$2:$C$401,$A18,Eventos!$B$2:$B$401,G$1)</f>
        <v>0</v>
      </c>
      <c r="H18" s="6">
        <f>SUMIFS(Eventos!$E$2:$E$401,Eventos!$C$2:$C$401,$A18,Eventos!$B$2:$B$401,H$1)</f>
        <v>0</v>
      </c>
      <c r="I18" s="6">
        <f>SUMIFS(Eventos!$E$2:$E$401,Eventos!$C$2:$C$401,$A18,Eventos!$B$2:$B$401,I$1)</f>
        <v>0</v>
      </c>
      <c r="J18" s="6">
        <f>SUMIFS(Eventos!$E$2:$E$401,Eventos!$C$2:$C$401,$A18,Eventos!$B$2:$B$401,J$1)</f>
        <v>0</v>
      </c>
      <c r="K18" s="6">
        <f>SUMIFS(Eventos!$E$2:$E$401,Eventos!$C$2:$C$401,$A18,Eventos!$B$2:$B$401,K$1)</f>
        <v>0</v>
      </c>
      <c r="L18" s="6">
        <f>SUMIFS(Eventos!$E$2:$E$401,Eventos!$C$2:$C$401,$A18,Eventos!$B$2:$B$401,L$1)</f>
        <v>0</v>
      </c>
      <c r="M18" s="6">
        <f>SUMIFS(Eventos!$E$2:$E$401,Eventos!$C$2:$C$401,$A18,Eventos!$B$2:$B$401,M$1)</f>
        <v>0</v>
      </c>
      <c r="N18" s="14">
        <f t="shared" si="0"/>
        <v>0</v>
      </c>
    </row>
    <row r="19" spans="1:14" x14ac:dyDescent="0.25">
      <c r="A19" s="13" t="str">
        <f>Alumnos!B19</f>
        <v>Alumno 18</v>
      </c>
      <c r="B19" s="6">
        <f>SUMIFS(Eventos!$E$2:$E$401,Eventos!$C$2:$C$401,$A19,Eventos!$B$2:$B$401,B$1)</f>
        <v>0</v>
      </c>
      <c r="C19" s="6">
        <f>SUMIFS(Eventos!$E$2:$E$401,Eventos!$C$2:$C$401,$A19,Eventos!$B$2:$B$401,C$1)</f>
        <v>0</v>
      </c>
      <c r="D19" s="6">
        <f>SUMIFS(Eventos!$E$2:$E$401,Eventos!$C$2:$C$401,$A19,Eventos!$B$2:$B$401,D$1)</f>
        <v>0</v>
      </c>
      <c r="E19" s="6">
        <f>SUMIFS(Eventos!$E$2:$E$401,Eventos!$C$2:$C$401,$A19,Eventos!$B$2:$B$401,E$1)</f>
        <v>0</v>
      </c>
      <c r="F19" s="6">
        <f>SUMIFS(Eventos!$E$2:$E$401,Eventos!$C$2:$C$401,$A19,Eventos!$B$2:$B$401,F$1)</f>
        <v>0</v>
      </c>
      <c r="G19" s="6">
        <f>SUMIFS(Eventos!$E$2:$E$401,Eventos!$C$2:$C$401,$A19,Eventos!$B$2:$B$401,G$1)</f>
        <v>0</v>
      </c>
      <c r="H19" s="6">
        <f>SUMIFS(Eventos!$E$2:$E$401,Eventos!$C$2:$C$401,$A19,Eventos!$B$2:$B$401,H$1)</f>
        <v>0</v>
      </c>
      <c r="I19" s="6">
        <f>SUMIFS(Eventos!$E$2:$E$401,Eventos!$C$2:$C$401,$A19,Eventos!$B$2:$B$401,I$1)</f>
        <v>0</v>
      </c>
      <c r="J19" s="6">
        <f>SUMIFS(Eventos!$E$2:$E$401,Eventos!$C$2:$C$401,$A19,Eventos!$B$2:$B$401,J$1)</f>
        <v>0</v>
      </c>
      <c r="K19" s="6">
        <f>SUMIFS(Eventos!$E$2:$E$401,Eventos!$C$2:$C$401,$A19,Eventos!$B$2:$B$401,K$1)</f>
        <v>0</v>
      </c>
      <c r="L19" s="6">
        <f>SUMIFS(Eventos!$E$2:$E$401,Eventos!$C$2:$C$401,$A19,Eventos!$B$2:$B$401,L$1)</f>
        <v>0</v>
      </c>
      <c r="M19" s="6">
        <f>SUMIFS(Eventos!$E$2:$E$401,Eventos!$C$2:$C$401,$A19,Eventos!$B$2:$B$401,M$1)</f>
        <v>0</v>
      </c>
      <c r="N19" s="14">
        <f t="shared" si="0"/>
        <v>0</v>
      </c>
    </row>
    <row r="20" spans="1:14" x14ac:dyDescent="0.25">
      <c r="A20" s="13" t="str">
        <f>Alumnos!B20</f>
        <v>Alumno 19</v>
      </c>
      <c r="B20" s="6">
        <f>SUMIFS(Eventos!$E$2:$E$401,Eventos!$C$2:$C$401,$A20,Eventos!$B$2:$B$401,B$1)</f>
        <v>0</v>
      </c>
      <c r="C20" s="6">
        <f>SUMIFS(Eventos!$E$2:$E$401,Eventos!$C$2:$C$401,$A20,Eventos!$B$2:$B$401,C$1)</f>
        <v>0</v>
      </c>
      <c r="D20" s="6">
        <f>SUMIFS(Eventos!$E$2:$E$401,Eventos!$C$2:$C$401,$A20,Eventos!$B$2:$B$401,D$1)</f>
        <v>0</v>
      </c>
      <c r="E20" s="6">
        <f>SUMIFS(Eventos!$E$2:$E$401,Eventos!$C$2:$C$401,$A20,Eventos!$B$2:$B$401,E$1)</f>
        <v>0</v>
      </c>
      <c r="F20" s="6">
        <f>SUMIFS(Eventos!$E$2:$E$401,Eventos!$C$2:$C$401,$A20,Eventos!$B$2:$B$401,F$1)</f>
        <v>0</v>
      </c>
      <c r="G20" s="6">
        <f>SUMIFS(Eventos!$E$2:$E$401,Eventos!$C$2:$C$401,$A20,Eventos!$B$2:$B$401,G$1)</f>
        <v>0</v>
      </c>
      <c r="H20" s="6">
        <f>SUMIFS(Eventos!$E$2:$E$401,Eventos!$C$2:$C$401,$A20,Eventos!$B$2:$B$401,H$1)</f>
        <v>0</v>
      </c>
      <c r="I20" s="6">
        <f>SUMIFS(Eventos!$E$2:$E$401,Eventos!$C$2:$C$401,$A20,Eventos!$B$2:$B$401,I$1)</f>
        <v>0</v>
      </c>
      <c r="J20" s="6">
        <f>SUMIFS(Eventos!$E$2:$E$401,Eventos!$C$2:$C$401,$A20,Eventos!$B$2:$B$401,J$1)</f>
        <v>0</v>
      </c>
      <c r="K20" s="6">
        <f>SUMIFS(Eventos!$E$2:$E$401,Eventos!$C$2:$C$401,$A20,Eventos!$B$2:$B$401,K$1)</f>
        <v>0</v>
      </c>
      <c r="L20" s="6">
        <f>SUMIFS(Eventos!$E$2:$E$401,Eventos!$C$2:$C$401,$A20,Eventos!$B$2:$B$401,L$1)</f>
        <v>0</v>
      </c>
      <c r="M20" s="6">
        <f>SUMIFS(Eventos!$E$2:$E$401,Eventos!$C$2:$C$401,$A20,Eventos!$B$2:$B$401,M$1)</f>
        <v>0</v>
      </c>
      <c r="N20" s="14">
        <f t="shared" si="0"/>
        <v>0</v>
      </c>
    </row>
    <row r="21" spans="1:14" x14ac:dyDescent="0.25">
      <c r="A21" s="13" t="str">
        <f>Alumnos!B21</f>
        <v>Alumno 20</v>
      </c>
      <c r="B21" s="6">
        <f>SUMIFS(Eventos!$E$2:$E$401,Eventos!$C$2:$C$401,$A21,Eventos!$B$2:$B$401,B$1)</f>
        <v>0</v>
      </c>
      <c r="C21" s="6">
        <f>SUMIFS(Eventos!$E$2:$E$401,Eventos!$C$2:$C$401,$A21,Eventos!$B$2:$B$401,C$1)</f>
        <v>0</v>
      </c>
      <c r="D21" s="6">
        <f>SUMIFS(Eventos!$E$2:$E$401,Eventos!$C$2:$C$401,$A21,Eventos!$B$2:$B$401,D$1)</f>
        <v>0</v>
      </c>
      <c r="E21" s="6">
        <f>SUMIFS(Eventos!$E$2:$E$401,Eventos!$C$2:$C$401,$A21,Eventos!$B$2:$B$401,E$1)</f>
        <v>0</v>
      </c>
      <c r="F21" s="6">
        <f>SUMIFS(Eventos!$E$2:$E$401,Eventos!$C$2:$C$401,$A21,Eventos!$B$2:$B$401,F$1)</f>
        <v>0</v>
      </c>
      <c r="G21" s="6">
        <f>SUMIFS(Eventos!$E$2:$E$401,Eventos!$C$2:$C$401,$A21,Eventos!$B$2:$B$401,G$1)</f>
        <v>0</v>
      </c>
      <c r="H21" s="6">
        <f>SUMIFS(Eventos!$E$2:$E$401,Eventos!$C$2:$C$401,$A21,Eventos!$B$2:$B$401,H$1)</f>
        <v>0</v>
      </c>
      <c r="I21" s="6">
        <f>SUMIFS(Eventos!$E$2:$E$401,Eventos!$C$2:$C$401,$A21,Eventos!$B$2:$B$401,I$1)</f>
        <v>0</v>
      </c>
      <c r="J21" s="6">
        <f>SUMIFS(Eventos!$E$2:$E$401,Eventos!$C$2:$C$401,$A21,Eventos!$B$2:$B$401,J$1)</f>
        <v>0</v>
      </c>
      <c r="K21" s="6">
        <f>SUMIFS(Eventos!$E$2:$E$401,Eventos!$C$2:$C$401,$A21,Eventos!$B$2:$B$401,K$1)</f>
        <v>0</v>
      </c>
      <c r="L21" s="6">
        <f>SUMIFS(Eventos!$E$2:$E$401,Eventos!$C$2:$C$401,$A21,Eventos!$B$2:$B$401,L$1)</f>
        <v>0</v>
      </c>
      <c r="M21" s="6">
        <f>SUMIFS(Eventos!$E$2:$E$401,Eventos!$C$2:$C$401,$A21,Eventos!$B$2:$B$401,M$1)</f>
        <v>0</v>
      </c>
      <c r="N21" s="14">
        <f t="shared" si="0"/>
        <v>0</v>
      </c>
    </row>
    <row r="22" spans="1:14" x14ac:dyDescent="0.25">
      <c r="A22" s="13" t="str">
        <f>Alumnos!B22</f>
        <v>Alumno 21</v>
      </c>
      <c r="B22" s="6">
        <f>SUMIFS(Eventos!$E$2:$E$401,Eventos!$C$2:$C$401,$A22,Eventos!$B$2:$B$401,B$1)</f>
        <v>0</v>
      </c>
      <c r="C22" s="6">
        <f>SUMIFS(Eventos!$E$2:$E$401,Eventos!$C$2:$C$401,$A22,Eventos!$B$2:$B$401,C$1)</f>
        <v>0</v>
      </c>
      <c r="D22" s="6">
        <f>SUMIFS(Eventos!$E$2:$E$401,Eventos!$C$2:$C$401,$A22,Eventos!$B$2:$B$401,D$1)</f>
        <v>0</v>
      </c>
      <c r="E22" s="6">
        <f>SUMIFS(Eventos!$E$2:$E$401,Eventos!$C$2:$C$401,$A22,Eventos!$B$2:$B$401,E$1)</f>
        <v>0</v>
      </c>
      <c r="F22" s="6">
        <f>SUMIFS(Eventos!$E$2:$E$401,Eventos!$C$2:$C$401,$A22,Eventos!$B$2:$B$401,F$1)</f>
        <v>0</v>
      </c>
      <c r="G22" s="6">
        <f>SUMIFS(Eventos!$E$2:$E$401,Eventos!$C$2:$C$401,$A22,Eventos!$B$2:$B$401,G$1)</f>
        <v>0</v>
      </c>
      <c r="H22" s="6">
        <f>SUMIFS(Eventos!$E$2:$E$401,Eventos!$C$2:$C$401,$A22,Eventos!$B$2:$B$401,H$1)</f>
        <v>0</v>
      </c>
      <c r="I22" s="6">
        <f>SUMIFS(Eventos!$E$2:$E$401,Eventos!$C$2:$C$401,$A22,Eventos!$B$2:$B$401,I$1)</f>
        <v>0</v>
      </c>
      <c r="J22" s="6">
        <f>SUMIFS(Eventos!$E$2:$E$401,Eventos!$C$2:$C$401,$A22,Eventos!$B$2:$B$401,J$1)</f>
        <v>0</v>
      </c>
      <c r="K22" s="6">
        <f>SUMIFS(Eventos!$E$2:$E$401,Eventos!$C$2:$C$401,$A22,Eventos!$B$2:$B$401,K$1)</f>
        <v>0</v>
      </c>
      <c r="L22" s="6">
        <f>SUMIFS(Eventos!$E$2:$E$401,Eventos!$C$2:$C$401,$A22,Eventos!$B$2:$B$401,L$1)</f>
        <v>0</v>
      </c>
      <c r="M22" s="6">
        <f>SUMIFS(Eventos!$E$2:$E$401,Eventos!$C$2:$C$401,$A22,Eventos!$B$2:$B$401,M$1)</f>
        <v>0</v>
      </c>
      <c r="N22" s="14">
        <f t="shared" si="0"/>
        <v>0</v>
      </c>
    </row>
    <row r="23" spans="1:14" x14ac:dyDescent="0.25">
      <c r="A23" s="13" t="str">
        <f>Alumnos!B23</f>
        <v>Alumno 22</v>
      </c>
      <c r="B23" s="6">
        <f>SUMIFS(Eventos!$E$2:$E$401,Eventos!$C$2:$C$401,$A23,Eventos!$B$2:$B$401,B$1)</f>
        <v>0</v>
      </c>
      <c r="C23" s="6">
        <f>SUMIFS(Eventos!$E$2:$E$401,Eventos!$C$2:$C$401,$A23,Eventos!$B$2:$B$401,C$1)</f>
        <v>0</v>
      </c>
      <c r="D23" s="6">
        <f>SUMIFS(Eventos!$E$2:$E$401,Eventos!$C$2:$C$401,$A23,Eventos!$B$2:$B$401,D$1)</f>
        <v>0</v>
      </c>
      <c r="E23" s="6">
        <f>SUMIFS(Eventos!$E$2:$E$401,Eventos!$C$2:$C$401,$A23,Eventos!$B$2:$B$401,E$1)</f>
        <v>0</v>
      </c>
      <c r="F23" s="6">
        <f>SUMIFS(Eventos!$E$2:$E$401,Eventos!$C$2:$C$401,$A23,Eventos!$B$2:$B$401,F$1)</f>
        <v>0</v>
      </c>
      <c r="G23" s="6">
        <f>SUMIFS(Eventos!$E$2:$E$401,Eventos!$C$2:$C$401,$A23,Eventos!$B$2:$B$401,G$1)</f>
        <v>0</v>
      </c>
      <c r="H23" s="6">
        <f>SUMIFS(Eventos!$E$2:$E$401,Eventos!$C$2:$C$401,$A23,Eventos!$B$2:$B$401,H$1)</f>
        <v>0</v>
      </c>
      <c r="I23" s="6">
        <f>SUMIFS(Eventos!$E$2:$E$401,Eventos!$C$2:$C$401,$A23,Eventos!$B$2:$B$401,I$1)</f>
        <v>0</v>
      </c>
      <c r="J23" s="6">
        <f>SUMIFS(Eventos!$E$2:$E$401,Eventos!$C$2:$C$401,$A23,Eventos!$B$2:$B$401,J$1)</f>
        <v>0</v>
      </c>
      <c r="K23" s="6">
        <f>SUMIFS(Eventos!$E$2:$E$401,Eventos!$C$2:$C$401,$A23,Eventos!$B$2:$B$401,K$1)</f>
        <v>0</v>
      </c>
      <c r="L23" s="6">
        <f>SUMIFS(Eventos!$E$2:$E$401,Eventos!$C$2:$C$401,$A23,Eventos!$B$2:$B$401,L$1)</f>
        <v>0</v>
      </c>
      <c r="M23" s="6">
        <f>SUMIFS(Eventos!$E$2:$E$401,Eventos!$C$2:$C$401,$A23,Eventos!$B$2:$B$401,M$1)</f>
        <v>0</v>
      </c>
      <c r="N23" s="14">
        <f t="shared" si="0"/>
        <v>0</v>
      </c>
    </row>
    <row r="24" spans="1:14" x14ac:dyDescent="0.25">
      <c r="A24" s="13" t="str">
        <f>Alumnos!B24</f>
        <v>Alumno 23</v>
      </c>
      <c r="B24" s="6">
        <f>SUMIFS(Eventos!$E$2:$E$401,Eventos!$C$2:$C$401,$A24,Eventos!$B$2:$B$401,B$1)</f>
        <v>0</v>
      </c>
      <c r="C24" s="6">
        <f>SUMIFS(Eventos!$E$2:$E$401,Eventos!$C$2:$C$401,$A24,Eventos!$B$2:$B$401,C$1)</f>
        <v>0</v>
      </c>
      <c r="D24" s="6">
        <f>SUMIFS(Eventos!$E$2:$E$401,Eventos!$C$2:$C$401,$A24,Eventos!$B$2:$B$401,D$1)</f>
        <v>0</v>
      </c>
      <c r="E24" s="6">
        <f>SUMIFS(Eventos!$E$2:$E$401,Eventos!$C$2:$C$401,$A24,Eventos!$B$2:$B$401,E$1)</f>
        <v>0</v>
      </c>
      <c r="F24" s="6">
        <f>SUMIFS(Eventos!$E$2:$E$401,Eventos!$C$2:$C$401,$A24,Eventos!$B$2:$B$401,F$1)</f>
        <v>0</v>
      </c>
      <c r="G24" s="6">
        <f>SUMIFS(Eventos!$E$2:$E$401,Eventos!$C$2:$C$401,$A24,Eventos!$B$2:$B$401,G$1)</f>
        <v>0</v>
      </c>
      <c r="H24" s="6">
        <f>SUMIFS(Eventos!$E$2:$E$401,Eventos!$C$2:$C$401,$A24,Eventos!$B$2:$B$401,H$1)</f>
        <v>0</v>
      </c>
      <c r="I24" s="6">
        <f>SUMIFS(Eventos!$E$2:$E$401,Eventos!$C$2:$C$401,$A24,Eventos!$B$2:$B$401,I$1)</f>
        <v>0</v>
      </c>
      <c r="J24" s="6">
        <f>SUMIFS(Eventos!$E$2:$E$401,Eventos!$C$2:$C$401,$A24,Eventos!$B$2:$B$401,J$1)</f>
        <v>0</v>
      </c>
      <c r="K24" s="6">
        <f>SUMIFS(Eventos!$E$2:$E$401,Eventos!$C$2:$C$401,$A24,Eventos!$B$2:$B$401,K$1)</f>
        <v>0</v>
      </c>
      <c r="L24" s="6">
        <f>SUMIFS(Eventos!$E$2:$E$401,Eventos!$C$2:$C$401,$A24,Eventos!$B$2:$B$401,L$1)</f>
        <v>0</v>
      </c>
      <c r="M24" s="6">
        <f>SUMIFS(Eventos!$E$2:$E$401,Eventos!$C$2:$C$401,$A24,Eventos!$B$2:$B$401,M$1)</f>
        <v>0</v>
      </c>
      <c r="N24" s="14">
        <f t="shared" si="0"/>
        <v>0</v>
      </c>
    </row>
    <row r="25" spans="1:14" x14ac:dyDescent="0.25">
      <c r="A25" s="13" t="str">
        <f>Alumnos!B25</f>
        <v>Alumno 24</v>
      </c>
      <c r="B25" s="6">
        <f>SUMIFS(Eventos!$E$2:$E$401,Eventos!$C$2:$C$401,$A25,Eventos!$B$2:$B$401,B$1)</f>
        <v>0</v>
      </c>
      <c r="C25" s="6">
        <f>SUMIFS(Eventos!$E$2:$E$401,Eventos!$C$2:$C$401,$A25,Eventos!$B$2:$B$401,C$1)</f>
        <v>0</v>
      </c>
      <c r="D25" s="6">
        <f>SUMIFS(Eventos!$E$2:$E$401,Eventos!$C$2:$C$401,$A25,Eventos!$B$2:$B$401,D$1)</f>
        <v>0</v>
      </c>
      <c r="E25" s="6">
        <f>SUMIFS(Eventos!$E$2:$E$401,Eventos!$C$2:$C$401,$A25,Eventos!$B$2:$B$401,E$1)</f>
        <v>0</v>
      </c>
      <c r="F25" s="6">
        <f>SUMIFS(Eventos!$E$2:$E$401,Eventos!$C$2:$C$401,$A25,Eventos!$B$2:$B$401,F$1)</f>
        <v>0</v>
      </c>
      <c r="G25" s="6">
        <f>SUMIFS(Eventos!$E$2:$E$401,Eventos!$C$2:$C$401,$A25,Eventos!$B$2:$B$401,G$1)</f>
        <v>0</v>
      </c>
      <c r="H25" s="6">
        <f>SUMIFS(Eventos!$E$2:$E$401,Eventos!$C$2:$C$401,$A25,Eventos!$B$2:$B$401,H$1)</f>
        <v>0</v>
      </c>
      <c r="I25" s="6">
        <f>SUMIFS(Eventos!$E$2:$E$401,Eventos!$C$2:$C$401,$A25,Eventos!$B$2:$B$401,I$1)</f>
        <v>0</v>
      </c>
      <c r="J25" s="6">
        <f>SUMIFS(Eventos!$E$2:$E$401,Eventos!$C$2:$C$401,$A25,Eventos!$B$2:$B$401,J$1)</f>
        <v>0</v>
      </c>
      <c r="K25" s="6">
        <f>SUMIFS(Eventos!$E$2:$E$401,Eventos!$C$2:$C$401,$A25,Eventos!$B$2:$B$401,K$1)</f>
        <v>0</v>
      </c>
      <c r="L25" s="6">
        <f>SUMIFS(Eventos!$E$2:$E$401,Eventos!$C$2:$C$401,$A25,Eventos!$B$2:$B$401,L$1)</f>
        <v>0</v>
      </c>
      <c r="M25" s="6">
        <f>SUMIFS(Eventos!$E$2:$E$401,Eventos!$C$2:$C$401,$A25,Eventos!$B$2:$B$401,M$1)</f>
        <v>0</v>
      </c>
      <c r="N25" s="14">
        <f t="shared" si="0"/>
        <v>0</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289"/>
  <sheetViews>
    <sheetView zoomScaleNormal="100"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8.7109375" defaultRowHeight="15" x14ac:dyDescent="0.25"/>
  <cols>
    <col min="1" max="1" width="9" customWidth="1"/>
    <col min="2" max="2" width="16" customWidth="1"/>
    <col min="3" max="9" width="15" customWidth="1"/>
  </cols>
  <sheetData>
    <row r="1" spans="1:9" ht="45" x14ac:dyDescent="0.25">
      <c r="A1" s="5" t="s">
        <v>54</v>
      </c>
      <c r="B1" s="5" t="s">
        <v>63</v>
      </c>
      <c r="C1" s="5" t="s">
        <v>73</v>
      </c>
      <c r="D1" s="5" t="s">
        <v>74</v>
      </c>
      <c r="E1" s="5" t="s">
        <v>75</v>
      </c>
      <c r="F1" s="5" t="s">
        <v>76</v>
      </c>
      <c r="G1" s="5" t="s">
        <v>77</v>
      </c>
      <c r="H1" s="5" t="s">
        <v>78</v>
      </c>
      <c r="I1" s="5" t="s">
        <v>79</v>
      </c>
    </row>
    <row r="2" spans="1:9" x14ac:dyDescent="0.25">
      <c r="A2" s="6">
        <f>Plantillas!A2</f>
        <v>1</v>
      </c>
      <c r="B2" s="13" t="str">
        <f>Plantillas!B2</f>
        <v>Alumno 1</v>
      </c>
      <c r="C2" s="6">
        <f>IFERROR(INDEX(Puntos_Jornada!$B$2:$M$25,MATCH(Plantillas!C2,Puntos_Jornada!$A$2:$A$25,0),MATCH($A2,Puntos_Jornada!$B$1:$M$1,0)),0)</f>
        <v>8</v>
      </c>
      <c r="D2" s="6">
        <f>IFERROR(INDEX(Puntos_Jornada!$B$2:$M$25,MATCH(Plantillas!D2,Puntos_Jornada!$A$2:$A$25,0),MATCH($A2,Puntos_Jornada!$B$1:$M$1,0)),0)</f>
        <v>0</v>
      </c>
      <c r="E2" s="6">
        <f>IFERROR(INDEX(Puntos_Jornada!$B$2:$M$25,MATCH(Plantillas!E2,Puntos_Jornada!$A$2:$A$25,0),MATCH($A2,Puntos_Jornada!$B$1:$M$1,0)),0)</f>
        <v>0</v>
      </c>
      <c r="F2" s="6">
        <f>IFERROR(INDEX(Puntos_Jornada!$B$2:$M$25,MATCH(Plantillas!F2,Puntos_Jornada!$A$2:$A$25,0),MATCH($A2,Puntos_Jornada!$B$1:$M$1,0)),0)</f>
        <v>8</v>
      </c>
      <c r="G2" s="6">
        <f>IFERROR(INDEX(Puntos_Jornada!$B$2:$M$25,MATCH(Plantillas!G2,Puntos_Jornada!$A$2:$A$25,0),MATCH($A2,Puntos_Jornada!$B$1:$M$1,0)),0)</f>
        <v>0</v>
      </c>
      <c r="H2" s="6">
        <f>IFERROR(INDEX(Puntos_Jornada!$B$2:$M$25,MATCH(Plantillas!H2,Puntos_Jornada!$A$2:$A$25,0),MATCH($A2,Puntos_Jornada!$B$1:$M$1,0)),0)</f>
        <v>8</v>
      </c>
      <c r="I2" s="15">
        <f t="shared" ref="I2:I65" si="0">SUM(C2:G2)+H2</f>
        <v>24</v>
      </c>
    </row>
    <row r="3" spans="1:9" x14ac:dyDescent="0.25">
      <c r="A3" s="6">
        <f>Plantillas!A3</f>
        <v>1</v>
      </c>
      <c r="B3" s="13" t="str">
        <f>Plantillas!B3</f>
        <v>Alumno 2</v>
      </c>
      <c r="C3" s="6">
        <f>IFERROR(INDEX(Puntos_Jornada!$B$2:$M$25,MATCH(Plantillas!C3,Puntos_Jornada!$A$2:$A$25,0),MATCH($A3,Puntos_Jornada!$B$1:$M$1,0)),0)</f>
        <v>0</v>
      </c>
      <c r="D3" s="6">
        <f>IFERROR(INDEX(Puntos_Jornada!$B$2:$M$25,MATCH(Plantillas!D3,Puntos_Jornada!$A$2:$A$25,0),MATCH($A3,Puntos_Jornada!$B$1:$M$1,0)),0)</f>
        <v>0</v>
      </c>
      <c r="E3" s="6">
        <f>IFERROR(INDEX(Puntos_Jornada!$B$2:$M$25,MATCH(Plantillas!E3,Puntos_Jornada!$A$2:$A$25,0),MATCH($A3,Puntos_Jornada!$B$1:$M$1,0)),0)</f>
        <v>0</v>
      </c>
      <c r="F3" s="6">
        <f>IFERROR(INDEX(Puntos_Jornada!$B$2:$M$25,MATCH(Plantillas!F3,Puntos_Jornada!$A$2:$A$25,0),MATCH($A3,Puntos_Jornada!$B$1:$M$1,0)),0)</f>
        <v>0</v>
      </c>
      <c r="G3" s="6">
        <f>IFERROR(INDEX(Puntos_Jornada!$B$2:$M$25,MATCH(Plantillas!G3,Puntos_Jornada!$A$2:$A$25,0),MATCH($A3,Puntos_Jornada!$B$1:$M$1,0)),0)</f>
        <v>0</v>
      </c>
      <c r="H3" s="6">
        <f>IFERROR(INDEX(Puntos_Jornada!$B$2:$M$25,MATCH(Plantillas!H3,Puntos_Jornada!$A$2:$A$25,0),MATCH($A3,Puntos_Jornada!$B$1:$M$1,0)),0)</f>
        <v>0</v>
      </c>
      <c r="I3" s="15">
        <f t="shared" si="0"/>
        <v>0</v>
      </c>
    </row>
    <row r="4" spans="1:9" x14ac:dyDescent="0.25">
      <c r="A4" s="6">
        <f>Plantillas!A4</f>
        <v>1</v>
      </c>
      <c r="B4" s="13" t="str">
        <f>Plantillas!B4</f>
        <v>Alumno 3</v>
      </c>
      <c r="C4" s="6">
        <f>IFERROR(INDEX(Puntos_Jornada!$B$2:$M$25,MATCH(Plantillas!C4,Puntos_Jornada!$A$2:$A$25,0),MATCH($A4,Puntos_Jornada!$B$1:$M$1,0)),0)</f>
        <v>0</v>
      </c>
      <c r="D4" s="6">
        <f>IFERROR(INDEX(Puntos_Jornada!$B$2:$M$25,MATCH(Plantillas!D4,Puntos_Jornada!$A$2:$A$25,0),MATCH($A4,Puntos_Jornada!$B$1:$M$1,0)),0)</f>
        <v>0</v>
      </c>
      <c r="E4" s="6">
        <f>IFERROR(INDEX(Puntos_Jornada!$B$2:$M$25,MATCH(Plantillas!E4,Puntos_Jornada!$A$2:$A$25,0),MATCH($A4,Puntos_Jornada!$B$1:$M$1,0)),0)</f>
        <v>0</v>
      </c>
      <c r="F4" s="6">
        <f>IFERROR(INDEX(Puntos_Jornada!$B$2:$M$25,MATCH(Plantillas!F4,Puntos_Jornada!$A$2:$A$25,0),MATCH($A4,Puntos_Jornada!$B$1:$M$1,0)),0)</f>
        <v>0</v>
      </c>
      <c r="G4" s="6">
        <f>IFERROR(INDEX(Puntos_Jornada!$B$2:$M$25,MATCH(Plantillas!G4,Puntos_Jornada!$A$2:$A$25,0),MATCH($A4,Puntos_Jornada!$B$1:$M$1,0)),0)</f>
        <v>0</v>
      </c>
      <c r="H4" s="6">
        <f>IFERROR(INDEX(Puntos_Jornada!$B$2:$M$25,MATCH(Plantillas!H4,Puntos_Jornada!$A$2:$A$25,0),MATCH($A4,Puntos_Jornada!$B$1:$M$1,0)),0)</f>
        <v>0</v>
      </c>
      <c r="I4" s="15">
        <f t="shared" si="0"/>
        <v>0</v>
      </c>
    </row>
    <row r="5" spans="1:9" x14ac:dyDescent="0.25">
      <c r="A5" s="6">
        <f>Plantillas!A5</f>
        <v>1</v>
      </c>
      <c r="B5" s="13" t="str">
        <f>Plantillas!B5</f>
        <v>Alumno 4</v>
      </c>
      <c r="C5" s="6">
        <f>IFERROR(INDEX(Puntos_Jornada!$B$2:$M$25,MATCH(Plantillas!C5,Puntos_Jornada!$A$2:$A$25,0),MATCH($A5,Puntos_Jornada!$B$1:$M$1,0)),0)</f>
        <v>0</v>
      </c>
      <c r="D5" s="6">
        <f>IFERROR(INDEX(Puntos_Jornada!$B$2:$M$25,MATCH(Plantillas!D5,Puntos_Jornada!$A$2:$A$25,0),MATCH($A5,Puntos_Jornada!$B$1:$M$1,0)),0)</f>
        <v>0</v>
      </c>
      <c r="E5" s="6">
        <f>IFERROR(INDEX(Puntos_Jornada!$B$2:$M$25,MATCH(Plantillas!E5,Puntos_Jornada!$A$2:$A$25,0),MATCH($A5,Puntos_Jornada!$B$1:$M$1,0)),0)</f>
        <v>0</v>
      </c>
      <c r="F5" s="6">
        <f>IFERROR(INDEX(Puntos_Jornada!$B$2:$M$25,MATCH(Plantillas!F5,Puntos_Jornada!$A$2:$A$25,0),MATCH($A5,Puntos_Jornada!$B$1:$M$1,0)),0)</f>
        <v>0</v>
      </c>
      <c r="G5" s="6">
        <f>IFERROR(INDEX(Puntos_Jornada!$B$2:$M$25,MATCH(Plantillas!G5,Puntos_Jornada!$A$2:$A$25,0),MATCH($A5,Puntos_Jornada!$B$1:$M$1,0)),0)</f>
        <v>0</v>
      </c>
      <c r="H5" s="6">
        <f>IFERROR(INDEX(Puntos_Jornada!$B$2:$M$25,MATCH(Plantillas!H5,Puntos_Jornada!$A$2:$A$25,0),MATCH($A5,Puntos_Jornada!$B$1:$M$1,0)),0)</f>
        <v>0</v>
      </c>
      <c r="I5" s="15">
        <f t="shared" si="0"/>
        <v>0</v>
      </c>
    </row>
    <row r="6" spans="1:9" x14ac:dyDescent="0.25">
      <c r="A6" s="6">
        <f>Plantillas!A6</f>
        <v>1</v>
      </c>
      <c r="B6" s="13" t="str">
        <f>Plantillas!B6</f>
        <v>Alumno 5</v>
      </c>
      <c r="C6" s="6">
        <f>IFERROR(INDEX(Puntos_Jornada!$B$2:$M$25,MATCH(Plantillas!C6,Puntos_Jornada!$A$2:$A$25,0),MATCH($A6,Puntos_Jornada!$B$1:$M$1,0)),0)</f>
        <v>0</v>
      </c>
      <c r="D6" s="6">
        <f>IFERROR(INDEX(Puntos_Jornada!$B$2:$M$25,MATCH(Plantillas!D6,Puntos_Jornada!$A$2:$A$25,0),MATCH($A6,Puntos_Jornada!$B$1:$M$1,0)),0)</f>
        <v>0</v>
      </c>
      <c r="E6" s="6">
        <f>IFERROR(INDEX(Puntos_Jornada!$B$2:$M$25,MATCH(Plantillas!E6,Puntos_Jornada!$A$2:$A$25,0),MATCH($A6,Puntos_Jornada!$B$1:$M$1,0)),0)</f>
        <v>0</v>
      </c>
      <c r="F6" s="6">
        <f>IFERROR(INDEX(Puntos_Jornada!$B$2:$M$25,MATCH(Plantillas!F6,Puntos_Jornada!$A$2:$A$25,0),MATCH($A6,Puntos_Jornada!$B$1:$M$1,0)),0)</f>
        <v>0</v>
      </c>
      <c r="G6" s="6">
        <f>IFERROR(INDEX(Puntos_Jornada!$B$2:$M$25,MATCH(Plantillas!G6,Puntos_Jornada!$A$2:$A$25,0),MATCH($A6,Puntos_Jornada!$B$1:$M$1,0)),0)</f>
        <v>0</v>
      </c>
      <c r="H6" s="6">
        <f>IFERROR(INDEX(Puntos_Jornada!$B$2:$M$25,MATCH(Plantillas!H6,Puntos_Jornada!$A$2:$A$25,0),MATCH($A6,Puntos_Jornada!$B$1:$M$1,0)),0)</f>
        <v>0</v>
      </c>
      <c r="I6" s="15">
        <f t="shared" si="0"/>
        <v>0</v>
      </c>
    </row>
    <row r="7" spans="1:9" x14ac:dyDescent="0.25">
      <c r="A7" s="6">
        <f>Plantillas!A7</f>
        <v>1</v>
      </c>
      <c r="B7" s="13" t="str">
        <f>Plantillas!B7</f>
        <v>Alumno 6</v>
      </c>
      <c r="C7" s="6">
        <f>IFERROR(INDEX(Puntos_Jornada!$B$2:$M$25,MATCH(Plantillas!C7,Puntos_Jornada!$A$2:$A$25,0),MATCH($A7,Puntos_Jornada!$B$1:$M$1,0)),0)</f>
        <v>0</v>
      </c>
      <c r="D7" s="6">
        <f>IFERROR(INDEX(Puntos_Jornada!$B$2:$M$25,MATCH(Plantillas!D7,Puntos_Jornada!$A$2:$A$25,0),MATCH($A7,Puntos_Jornada!$B$1:$M$1,0)),0)</f>
        <v>0</v>
      </c>
      <c r="E7" s="6">
        <f>IFERROR(INDEX(Puntos_Jornada!$B$2:$M$25,MATCH(Plantillas!E7,Puntos_Jornada!$A$2:$A$25,0),MATCH($A7,Puntos_Jornada!$B$1:$M$1,0)),0)</f>
        <v>0</v>
      </c>
      <c r="F7" s="6">
        <f>IFERROR(INDEX(Puntos_Jornada!$B$2:$M$25,MATCH(Plantillas!F7,Puntos_Jornada!$A$2:$A$25,0),MATCH($A7,Puntos_Jornada!$B$1:$M$1,0)),0)</f>
        <v>0</v>
      </c>
      <c r="G7" s="6">
        <f>IFERROR(INDEX(Puntos_Jornada!$B$2:$M$25,MATCH(Plantillas!G7,Puntos_Jornada!$A$2:$A$25,0),MATCH($A7,Puntos_Jornada!$B$1:$M$1,0)),0)</f>
        <v>0</v>
      </c>
      <c r="H7" s="6">
        <f>IFERROR(INDEX(Puntos_Jornada!$B$2:$M$25,MATCH(Plantillas!H7,Puntos_Jornada!$A$2:$A$25,0),MATCH($A7,Puntos_Jornada!$B$1:$M$1,0)),0)</f>
        <v>0</v>
      </c>
      <c r="I7" s="15">
        <f t="shared" si="0"/>
        <v>0</v>
      </c>
    </row>
    <row r="8" spans="1:9" x14ac:dyDescent="0.25">
      <c r="A8" s="6">
        <f>Plantillas!A8</f>
        <v>1</v>
      </c>
      <c r="B8" s="13" t="str">
        <f>Plantillas!B8</f>
        <v>Alumno 7</v>
      </c>
      <c r="C8" s="6">
        <f>IFERROR(INDEX(Puntos_Jornada!$B$2:$M$25,MATCH(Plantillas!C8,Puntos_Jornada!$A$2:$A$25,0),MATCH($A8,Puntos_Jornada!$B$1:$M$1,0)),0)</f>
        <v>0</v>
      </c>
      <c r="D8" s="6">
        <f>IFERROR(INDEX(Puntos_Jornada!$B$2:$M$25,MATCH(Plantillas!D8,Puntos_Jornada!$A$2:$A$25,0),MATCH($A8,Puntos_Jornada!$B$1:$M$1,0)),0)</f>
        <v>0</v>
      </c>
      <c r="E8" s="6">
        <f>IFERROR(INDEX(Puntos_Jornada!$B$2:$M$25,MATCH(Plantillas!E8,Puntos_Jornada!$A$2:$A$25,0),MATCH($A8,Puntos_Jornada!$B$1:$M$1,0)),0)</f>
        <v>0</v>
      </c>
      <c r="F8" s="6">
        <f>IFERROR(INDEX(Puntos_Jornada!$B$2:$M$25,MATCH(Plantillas!F8,Puntos_Jornada!$A$2:$A$25,0),MATCH($A8,Puntos_Jornada!$B$1:$M$1,0)),0)</f>
        <v>0</v>
      </c>
      <c r="G8" s="6">
        <f>IFERROR(INDEX(Puntos_Jornada!$B$2:$M$25,MATCH(Plantillas!G8,Puntos_Jornada!$A$2:$A$25,0),MATCH($A8,Puntos_Jornada!$B$1:$M$1,0)),0)</f>
        <v>0</v>
      </c>
      <c r="H8" s="6">
        <f>IFERROR(INDEX(Puntos_Jornada!$B$2:$M$25,MATCH(Plantillas!H8,Puntos_Jornada!$A$2:$A$25,0),MATCH($A8,Puntos_Jornada!$B$1:$M$1,0)),0)</f>
        <v>0</v>
      </c>
      <c r="I8" s="15">
        <f t="shared" si="0"/>
        <v>0</v>
      </c>
    </row>
    <row r="9" spans="1:9" x14ac:dyDescent="0.25">
      <c r="A9" s="6">
        <f>Plantillas!A9</f>
        <v>1</v>
      </c>
      <c r="B9" s="13" t="str">
        <f>Plantillas!B9</f>
        <v>Alumno 8</v>
      </c>
      <c r="C9" s="6">
        <f>IFERROR(INDEX(Puntos_Jornada!$B$2:$M$25,MATCH(Plantillas!C9,Puntos_Jornada!$A$2:$A$25,0),MATCH($A9,Puntos_Jornada!$B$1:$M$1,0)),0)</f>
        <v>0</v>
      </c>
      <c r="D9" s="6">
        <f>IFERROR(INDEX(Puntos_Jornada!$B$2:$M$25,MATCH(Plantillas!D9,Puntos_Jornada!$A$2:$A$25,0),MATCH($A9,Puntos_Jornada!$B$1:$M$1,0)),0)</f>
        <v>0</v>
      </c>
      <c r="E9" s="6">
        <f>IFERROR(INDEX(Puntos_Jornada!$B$2:$M$25,MATCH(Plantillas!E9,Puntos_Jornada!$A$2:$A$25,0),MATCH($A9,Puntos_Jornada!$B$1:$M$1,0)),0)</f>
        <v>0</v>
      </c>
      <c r="F9" s="6">
        <f>IFERROR(INDEX(Puntos_Jornada!$B$2:$M$25,MATCH(Plantillas!F9,Puntos_Jornada!$A$2:$A$25,0),MATCH($A9,Puntos_Jornada!$B$1:$M$1,0)),0)</f>
        <v>0</v>
      </c>
      <c r="G9" s="6">
        <f>IFERROR(INDEX(Puntos_Jornada!$B$2:$M$25,MATCH(Plantillas!G9,Puntos_Jornada!$A$2:$A$25,0),MATCH($A9,Puntos_Jornada!$B$1:$M$1,0)),0)</f>
        <v>0</v>
      </c>
      <c r="H9" s="6">
        <f>IFERROR(INDEX(Puntos_Jornada!$B$2:$M$25,MATCH(Plantillas!H9,Puntos_Jornada!$A$2:$A$25,0),MATCH($A9,Puntos_Jornada!$B$1:$M$1,0)),0)</f>
        <v>0</v>
      </c>
      <c r="I9" s="15">
        <f t="shared" si="0"/>
        <v>0</v>
      </c>
    </row>
    <row r="10" spans="1:9" x14ac:dyDescent="0.25">
      <c r="A10" s="6">
        <f>Plantillas!A10</f>
        <v>1</v>
      </c>
      <c r="B10" s="13" t="str">
        <f>Plantillas!B10</f>
        <v>Alumno 9</v>
      </c>
      <c r="C10" s="6">
        <f>IFERROR(INDEX(Puntos_Jornada!$B$2:$M$25,MATCH(Plantillas!C10,Puntos_Jornada!$A$2:$A$25,0),MATCH($A10,Puntos_Jornada!$B$1:$M$1,0)),0)</f>
        <v>0</v>
      </c>
      <c r="D10" s="6">
        <f>IFERROR(INDEX(Puntos_Jornada!$B$2:$M$25,MATCH(Plantillas!D10,Puntos_Jornada!$A$2:$A$25,0),MATCH($A10,Puntos_Jornada!$B$1:$M$1,0)),0)</f>
        <v>0</v>
      </c>
      <c r="E10" s="6">
        <f>IFERROR(INDEX(Puntos_Jornada!$B$2:$M$25,MATCH(Plantillas!E10,Puntos_Jornada!$A$2:$A$25,0),MATCH($A10,Puntos_Jornada!$B$1:$M$1,0)),0)</f>
        <v>0</v>
      </c>
      <c r="F10" s="6">
        <f>IFERROR(INDEX(Puntos_Jornada!$B$2:$M$25,MATCH(Plantillas!F10,Puntos_Jornada!$A$2:$A$25,0),MATCH($A10,Puntos_Jornada!$B$1:$M$1,0)),0)</f>
        <v>0</v>
      </c>
      <c r="G10" s="6">
        <f>IFERROR(INDEX(Puntos_Jornada!$B$2:$M$25,MATCH(Plantillas!G10,Puntos_Jornada!$A$2:$A$25,0),MATCH($A10,Puntos_Jornada!$B$1:$M$1,0)),0)</f>
        <v>0</v>
      </c>
      <c r="H10" s="6">
        <f>IFERROR(INDEX(Puntos_Jornada!$B$2:$M$25,MATCH(Plantillas!H10,Puntos_Jornada!$A$2:$A$25,0),MATCH($A10,Puntos_Jornada!$B$1:$M$1,0)),0)</f>
        <v>0</v>
      </c>
      <c r="I10" s="15">
        <f t="shared" si="0"/>
        <v>0</v>
      </c>
    </row>
    <row r="11" spans="1:9" x14ac:dyDescent="0.25">
      <c r="A11" s="6">
        <f>Plantillas!A11</f>
        <v>1</v>
      </c>
      <c r="B11" s="13" t="str">
        <f>Plantillas!B11</f>
        <v>Alumno 10</v>
      </c>
      <c r="C11" s="6">
        <f>IFERROR(INDEX(Puntos_Jornada!$B$2:$M$25,MATCH(Plantillas!C11,Puntos_Jornada!$A$2:$A$25,0),MATCH($A11,Puntos_Jornada!$B$1:$M$1,0)),0)</f>
        <v>0</v>
      </c>
      <c r="D11" s="6">
        <f>IFERROR(INDEX(Puntos_Jornada!$B$2:$M$25,MATCH(Plantillas!D11,Puntos_Jornada!$A$2:$A$25,0),MATCH($A11,Puntos_Jornada!$B$1:$M$1,0)),0)</f>
        <v>0</v>
      </c>
      <c r="E11" s="6">
        <f>IFERROR(INDEX(Puntos_Jornada!$B$2:$M$25,MATCH(Plantillas!E11,Puntos_Jornada!$A$2:$A$25,0),MATCH($A11,Puntos_Jornada!$B$1:$M$1,0)),0)</f>
        <v>0</v>
      </c>
      <c r="F11" s="6">
        <f>IFERROR(INDEX(Puntos_Jornada!$B$2:$M$25,MATCH(Plantillas!F11,Puntos_Jornada!$A$2:$A$25,0),MATCH($A11,Puntos_Jornada!$B$1:$M$1,0)),0)</f>
        <v>0</v>
      </c>
      <c r="G11" s="6">
        <f>IFERROR(INDEX(Puntos_Jornada!$B$2:$M$25,MATCH(Plantillas!G11,Puntos_Jornada!$A$2:$A$25,0),MATCH($A11,Puntos_Jornada!$B$1:$M$1,0)),0)</f>
        <v>0</v>
      </c>
      <c r="H11" s="6">
        <f>IFERROR(INDEX(Puntos_Jornada!$B$2:$M$25,MATCH(Plantillas!H11,Puntos_Jornada!$A$2:$A$25,0),MATCH($A11,Puntos_Jornada!$B$1:$M$1,0)),0)</f>
        <v>0</v>
      </c>
      <c r="I11" s="15">
        <f t="shared" si="0"/>
        <v>0</v>
      </c>
    </row>
    <row r="12" spans="1:9" x14ac:dyDescent="0.25">
      <c r="A12" s="6">
        <f>Plantillas!A12</f>
        <v>1</v>
      </c>
      <c r="B12" s="13" t="str">
        <f>Plantillas!B12</f>
        <v>Alumno 11</v>
      </c>
      <c r="C12" s="6">
        <f>IFERROR(INDEX(Puntos_Jornada!$B$2:$M$25,MATCH(Plantillas!C12,Puntos_Jornada!$A$2:$A$25,0),MATCH($A12,Puntos_Jornada!$B$1:$M$1,0)),0)</f>
        <v>0</v>
      </c>
      <c r="D12" s="6">
        <f>IFERROR(INDEX(Puntos_Jornada!$B$2:$M$25,MATCH(Plantillas!D12,Puntos_Jornada!$A$2:$A$25,0),MATCH($A12,Puntos_Jornada!$B$1:$M$1,0)),0)</f>
        <v>0</v>
      </c>
      <c r="E12" s="6">
        <f>IFERROR(INDEX(Puntos_Jornada!$B$2:$M$25,MATCH(Plantillas!E12,Puntos_Jornada!$A$2:$A$25,0),MATCH($A12,Puntos_Jornada!$B$1:$M$1,0)),0)</f>
        <v>0</v>
      </c>
      <c r="F12" s="6">
        <f>IFERROR(INDEX(Puntos_Jornada!$B$2:$M$25,MATCH(Plantillas!F12,Puntos_Jornada!$A$2:$A$25,0),MATCH($A12,Puntos_Jornada!$B$1:$M$1,0)),0)</f>
        <v>0</v>
      </c>
      <c r="G12" s="6">
        <f>IFERROR(INDEX(Puntos_Jornada!$B$2:$M$25,MATCH(Plantillas!G12,Puntos_Jornada!$A$2:$A$25,0),MATCH($A12,Puntos_Jornada!$B$1:$M$1,0)),0)</f>
        <v>0</v>
      </c>
      <c r="H12" s="6">
        <f>IFERROR(INDEX(Puntos_Jornada!$B$2:$M$25,MATCH(Plantillas!H12,Puntos_Jornada!$A$2:$A$25,0),MATCH($A12,Puntos_Jornada!$B$1:$M$1,0)),0)</f>
        <v>0</v>
      </c>
      <c r="I12" s="15">
        <f t="shared" si="0"/>
        <v>0</v>
      </c>
    </row>
    <row r="13" spans="1:9" x14ac:dyDescent="0.25">
      <c r="A13" s="6">
        <f>Plantillas!A13</f>
        <v>1</v>
      </c>
      <c r="B13" s="13" t="str">
        <f>Plantillas!B13</f>
        <v>Alumno 12</v>
      </c>
      <c r="C13" s="6">
        <f>IFERROR(INDEX(Puntos_Jornada!$B$2:$M$25,MATCH(Plantillas!C13,Puntos_Jornada!$A$2:$A$25,0),MATCH($A13,Puntos_Jornada!$B$1:$M$1,0)),0)</f>
        <v>0</v>
      </c>
      <c r="D13" s="6">
        <f>IFERROR(INDEX(Puntos_Jornada!$B$2:$M$25,MATCH(Plantillas!D13,Puntos_Jornada!$A$2:$A$25,0),MATCH($A13,Puntos_Jornada!$B$1:$M$1,0)),0)</f>
        <v>0</v>
      </c>
      <c r="E13" s="6">
        <f>IFERROR(INDEX(Puntos_Jornada!$B$2:$M$25,MATCH(Plantillas!E13,Puntos_Jornada!$A$2:$A$25,0),MATCH($A13,Puntos_Jornada!$B$1:$M$1,0)),0)</f>
        <v>0</v>
      </c>
      <c r="F13" s="6">
        <f>IFERROR(INDEX(Puntos_Jornada!$B$2:$M$25,MATCH(Plantillas!F13,Puntos_Jornada!$A$2:$A$25,0),MATCH($A13,Puntos_Jornada!$B$1:$M$1,0)),0)</f>
        <v>0</v>
      </c>
      <c r="G13" s="6">
        <f>IFERROR(INDEX(Puntos_Jornada!$B$2:$M$25,MATCH(Plantillas!G13,Puntos_Jornada!$A$2:$A$25,0),MATCH($A13,Puntos_Jornada!$B$1:$M$1,0)),0)</f>
        <v>0</v>
      </c>
      <c r="H13" s="6">
        <f>IFERROR(INDEX(Puntos_Jornada!$B$2:$M$25,MATCH(Plantillas!H13,Puntos_Jornada!$A$2:$A$25,0),MATCH($A13,Puntos_Jornada!$B$1:$M$1,0)),0)</f>
        <v>0</v>
      </c>
      <c r="I13" s="15">
        <f t="shared" si="0"/>
        <v>0</v>
      </c>
    </row>
    <row r="14" spans="1:9" x14ac:dyDescent="0.25">
      <c r="A14" s="6">
        <f>Plantillas!A14</f>
        <v>1</v>
      </c>
      <c r="B14" s="13" t="str">
        <f>Plantillas!B14</f>
        <v>Alumno 13</v>
      </c>
      <c r="C14" s="6">
        <f>IFERROR(INDEX(Puntos_Jornada!$B$2:$M$25,MATCH(Plantillas!C14,Puntos_Jornada!$A$2:$A$25,0),MATCH($A14,Puntos_Jornada!$B$1:$M$1,0)),0)</f>
        <v>0</v>
      </c>
      <c r="D14" s="6">
        <f>IFERROR(INDEX(Puntos_Jornada!$B$2:$M$25,MATCH(Plantillas!D14,Puntos_Jornada!$A$2:$A$25,0),MATCH($A14,Puntos_Jornada!$B$1:$M$1,0)),0)</f>
        <v>0</v>
      </c>
      <c r="E14" s="6">
        <f>IFERROR(INDEX(Puntos_Jornada!$B$2:$M$25,MATCH(Plantillas!E14,Puntos_Jornada!$A$2:$A$25,0),MATCH($A14,Puntos_Jornada!$B$1:$M$1,0)),0)</f>
        <v>0</v>
      </c>
      <c r="F14" s="6">
        <f>IFERROR(INDEX(Puntos_Jornada!$B$2:$M$25,MATCH(Plantillas!F14,Puntos_Jornada!$A$2:$A$25,0),MATCH($A14,Puntos_Jornada!$B$1:$M$1,0)),0)</f>
        <v>0</v>
      </c>
      <c r="G14" s="6">
        <f>IFERROR(INDEX(Puntos_Jornada!$B$2:$M$25,MATCH(Plantillas!G14,Puntos_Jornada!$A$2:$A$25,0),MATCH($A14,Puntos_Jornada!$B$1:$M$1,0)),0)</f>
        <v>0</v>
      </c>
      <c r="H14" s="6">
        <f>IFERROR(INDEX(Puntos_Jornada!$B$2:$M$25,MATCH(Plantillas!H14,Puntos_Jornada!$A$2:$A$25,0),MATCH($A14,Puntos_Jornada!$B$1:$M$1,0)),0)</f>
        <v>0</v>
      </c>
      <c r="I14" s="15">
        <f t="shared" si="0"/>
        <v>0</v>
      </c>
    </row>
    <row r="15" spans="1:9" x14ac:dyDescent="0.25">
      <c r="A15" s="6">
        <f>Plantillas!A15</f>
        <v>1</v>
      </c>
      <c r="B15" s="13" t="str">
        <f>Plantillas!B15</f>
        <v>Alumno 14</v>
      </c>
      <c r="C15" s="6">
        <f>IFERROR(INDEX(Puntos_Jornada!$B$2:$M$25,MATCH(Plantillas!C15,Puntos_Jornada!$A$2:$A$25,0),MATCH($A15,Puntos_Jornada!$B$1:$M$1,0)),0)</f>
        <v>0</v>
      </c>
      <c r="D15" s="6">
        <f>IFERROR(INDEX(Puntos_Jornada!$B$2:$M$25,MATCH(Plantillas!D15,Puntos_Jornada!$A$2:$A$25,0),MATCH($A15,Puntos_Jornada!$B$1:$M$1,0)),0)</f>
        <v>0</v>
      </c>
      <c r="E15" s="6">
        <f>IFERROR(INDEX(Puntos_Jornada!$B$2:$M$25,MATCH(Plantillas!E15,Puntos_Jornada!$A$2:$A$25,0),MATCH($A15,Puntos_Jornada!$B$1:$M$1,0)),0)</f>
        <v>0</v>
      </c>
      <c r="F15" s="6">
        <f>IFERROR(INDEX(Puntos_Jornada!$B$2:$M$25,MATCH(Plantillas!F15,Puntos_Jornada!$A$2:$A$25,0),MATCH($A15,Puntos_Jornada!$B$1:$M$1,0)),0)</f>
        <v>0</v>
      </c>
      <c r="G15" s="6">
        <f>IFERROR(INDEX(Puntos_Jornada!$B$2:$M$25,MATCH(Plantillas!G15,Puntos_Jornada!$A$2:$A$25,0),MATCH($A15,Puntos_Jornada!$B$1:$M$1,0)),0)</f>
        <v>0</v>
      </c>
      <c r="H15" s="6">
        <f>IFERROR(INDEX(Puntos_Jornada!$B$2:$M$25,MATCH(Plantillas!H15,Puntos_Jornada!$A$2:$A$25,0),MATCH($A15,Puntos_Jornada!$B$1:$M$1,0)),0)</f>
        <v>0</v>
      </c>
      <c r="I15" s="15">
        <f t="shared" si="0"/>
        <v>0</v>
      </c>
    </row>
    <row r="16" spans="1:9" x14ac:dyDescent="0.25">
      <c r="A16" s="6">
        <f>Plantillas!A16</f>
        <v>1</v>
      </c>
      <c r="B16" s="13" t="str">
        <f>Plantillas!B16</f>
        <v>Alumno 15</v>
      </c>
      <c r="C16" s="6">
        <f>IFERROR(INDEX(Puntos_Jornada!$B$2:$M$25,MATCH(Plantillas!C16,Puntos_Jornada!$A$2:$A$25,0),MATCH($A16,Puntos_Jornada!$B$1:$M$1,0)),0)</f>
        <v>0</v>
      </c>
      <c r="D16" s="6">
        <f>IFERROR(INDEX(Puntos_Jornada!$B$2:$M$25,MATCH(Plantillas!D16,Puntos_Jornada!$A$2:$A$25,0),MATCH($A16,Puntos_Jornada!$B$1:$M$1,0)),0)</f>
        <v>0</v>
      </c>
      <c r="E16" s="6">
        <f>IFERROR(INDEX(Puntos_Jornada!$B$2:$M$25,MATCH(Plantillas!E16,Puntos_Jornada!$A$2:$A$25,0),MATCH($A16,Puntos_Jornada!$B$1:$M$1,0)),0)</f>
        <v>0</v>
      </c>
      <c r="F16" s="6">
        <f>IFERROR(INDEX(Puntos_Jornada!$B$2:$M$25,MATCH(Plantillas!F16,Puntos_Jornada!$A$2:$A$25,0),MATCH($A16,Puntos_Jornada!$B$1:$M$1,0)),0)</f>
        <v>0</v>
      </c>
      <c r="G16" s="6">
        <f>IFERROR(INDEX(Puntos_Jornada!$B$2:$M$25,MATCH(Plantillas!G16,Puntos_Jornada!$A$2:$A$25,0),MATCH($A16,Puntos_Jornada!$B$1:$M$1,0)),0)</f>
        <v>0</v>
      </c>
      <c r="H16" s="6">
        <f>IFERROR(INDEX(Puntos_Jornada!$B$2:$M$25,MATCH(Plantillas!H16,Puntos_Jornada!$A$2:$A$25,0),MATCH($A16,Puntos_Jornada!$B$1:$M$1,0)),0)</f>
        <v>0</v>
      </c>
      <c r="I16" s="15">
        <f t="shared" si="0"/>
        <v>0</v>
      </c>
    </row>
    <row r="17" spans="1:9" x14ac:dyDescent="0.25">
      <c r="A17" s="6">
        <f>Plantillas!A17</f>
        <v>1</v>
      </c>
      <c r="B17" s="13" t="str">
        <f>Plantillas!B17</f>
        <v>Alumno 16</v>
      </c>
      <c r="C17" s="6">
        <f>IFERROR(INDEX(Puntos_Jornada!$B$2:$M$25,MATCH(Plantillas!C17,Puntos_Jornada!$A$2:$A$25,0),MATCH($A17,Puntos_Jornada!$B$1:$M$1,0)),0)</f>
        <v>0</v>
      </c>
      <c r="D17" s="6">
        <f>IFERROR(INDEX(Puntos_Jornada!$B$2:$M$25,MATCH(Plantillas!D17,Puntos_Jornada!$A$2:$A$25,0),MATCH($A17,Puntos_Jornada!$B$1:$M$1,0)),0)</f>
        <v>0</v>
      </c>
      <c r="E17" s="6">
        <f>IFERROR(INDEX(Puntos_Jornada!$B$2:$M$25,MATCH(Plantillas!E17,Puntos_Jornada!$A$2:$A$25,0),MATCH($A17,Puntos_Jornada!$B$1:$M$1,0)),0)</f>
        <v>0</v>
      </c>
      <c r="F17" s="6">
        <f>IFERROR(INDEX(Puntos_Jornada!$B$2:$M$25,MATCH(Plantillas!F17,Puntos_Jornada!$A$2:$A$25,0),MATCH($A17,Puntos_Jornada!$B$1:$M$1,0)),0)</f>
        <v>0</v>
      </c>
      <c r="G17" s="6">
        <f>IFERROR(INDEX(Puntos_Jornada!$B$2:$M$25,MATCH(Plantillas!G17,Puntos_Jornada!$A$2:$A$25,0),MATCH($A17,Puntos_Jornada!$B$1:$M$1,0)),0)</f>
        <v>0</v>
      </c>
      <c r="H17" s="6">
        <f>IFERROR(INDEX(Puntos_Jornada!$B$2:$M$25,MATCH(Plantillas!H17,Puntos_Jornada!$A$2:$A$25,0),MATCH($A17,Puntos_Jornada!$B$1:$M$1,0)),0)</f>
        <v>0</v>
      </c>
      <c r="I17" s="15">
        <f t="shared" si="0"/>
        <v>0</v>
      </c>
    </row>
    <row r="18" spans="1:9" x14ac:dyDescent="0.25">
      <c r="A18" s="6">
        <f>Plantillas!A18</f>
        <v>1</v>
      </c>
      <c r="B18" s="13" t="str">
        <f>Plantillas!B18</f>
        <v>Alumno 17</v>
      </c>
      <c r="C18" s="6">
        <f>IFERROR(INDEX(Puntos_Jornada!$B$2:$M$25,MATCH(Plantillas!C18,Puntos_Jornada!$A$2:$A$25,0),MATCH($A18,Puntos_Jornada!$B$1:$M$1,0)),0)</f>
        <v>0</v>
      </c>
      <c r="D18" s="6">
        <f>IFERROR(INDEX(Puntos_Jornada!$B$2:$M$25,MATCH(Plantillas!D18,Puntos_Jornada!$A$2:$A$25,0),MATCH($A18,Puntos_Jornada!$B$1:$M$1,0)),0)</f>
        <v>0</v>
      </c>
      <c r="E18" s="6">
        <f>IFERROR(INDEX(Puntos_Jornada!$B$2:$M$25,MATCH(Plantillas!E18,Puntos_Jornada!$A$2:$A$25,0),MATCH($A18,Puntos_Jornada!$B$1:$M$1,0)),0)</f>
        <v>0</v>
      </c>
      <c r="F18" s="6">
        <f>IFERROR(INDEX(Puntos_Jornada!$B$2:$M$25,MATCH(Plantillas!F18,Puntos_Jornada!$A$2:$A$25,0),MATCH($A18,Puntos_Jornada!$B$1:$M$1,0)),0)</f>
        <v>0</v>
      </c>
      <c r="G18" s="6">
        <f>IFERROR(INDEX(Puntos_Jornada!$B$2:$M$25,MATCH(Plantillas!G18,Puntos_Jornada!$A$2:$A$25,0),MATCH($A18,Puntos_Jornada!$B$1:$M$1,0)),0)</f>
        <v>0</v>
      </c>
      <c r="H18" s="6">
        <f>IFERROR(INDEX(Puntos_Jornada!$B$2:$M$25,MATCH(Plantillas!H18,Puntos_Jornada!$A$2:$A$25,0),MATCH($A18,Puntos_Jornada!$B$1:$M$1,0)),0)</f>
        <v>0</v>
      </c>
      <c r="I18" s="15">
        <f t="shared" si="0"/>
        <v>0</v>
      </c>
    </row>
    <row r="19" spans="1:9" x14ac:dyDescent="0.25">
      <c r="A19" s="6">
        <f>Plantillas!A19</f>
        <v>1</v>
      </c>
      <c r="B19" s="13" t="str">
        <f>Plantillas!B19</f>
        <v>Alumno 18</v>
      </c>
      <c r="C19" s="6">
        <f>IFERROR(INDEX(Puntos_Jornada!$B$2:$M$25,MATCH(Plantillas!C19,Puntos_Jornada!$A$2:$A$25,0),MATCH($A19,Puntos_Jornada!$B$1:$M$1,0)),0)</f>
        <v>0</v>
      </c>
      <c r="D19" s="6">
        <f>IFERROR(INDEX(Puntos_Jornada!$B$2:$M$25,MATCH(Plantillas!D19,Puntos_Jornada!$A$2:$A$25,0),MATCH($A19,Puntos_Jornada!$B$1:$M$1,0)),0)</f>
        <v>0</v>
      </c>
      <c r="E19" s="6">
        <f>IFERROR(INDEX(Puntos_Jornada!$B$2:$M$25,MATCH(Plantillas!E19,Puntos_Jornada!$A$2:$A$25,0),MATCH($A19,Puntos_Jornada!$B$1:$M$1,0)),0)</f>
        <v>0</v>
      </c>
      <c r="F19" s="6">
        <f>IFERROR(INDEX(Puntos_Jornada!$B$2:$M$25,MATCH(Plantillas!F19,Puntos_Jornada!$A$2:$A$25,0),MATCH($A19,Puntos_Jornada!$B$1:$M$1,0)),0)</f>
        <v>0</v>
      </c>
      <c r="G19" s="6">
        <f>IFERROR(INDEX(Puntos_Jornada!$B$2:$M$25,MATCH(Plantillas!G19,Puntos_Jornada!$A$2:$A$25,0),MATCH($A19,Puntos_Jornada!$B$1:$M$1,0)),0)</f>
        <v>0</v>
      </c>
      <c r="H19" s="6">
        <f>IFERROR(INDEX(Puntos_Jornada!$B$2:$M$25,MATCH(Plantillas!H19,Puntos_Jornada!$A$2:$A$25,0),MATCH($A19,Puntos_Jornada!$B$1:$M$1,0)),0)</f>
        <v>0</v>
      </c>
      <c r="I19" s="15">
        <f t="shared" si="0"/>
        <v>0</v>
      </c>
    </row>
    <row r="20" spans="1:9" x14ac:dyDescent="0.25">
      <c r="A20" s="6">
        <f>Plantillas!A20</f>
        <v>1</v>
      </c>
      <c r="B20" s="13" t="str">
        <f>Plantillas!B20</f>
        <v>Alumno 19</v>
      </c>
      <c r="C20" s="6">
        <f>IFERROR(INDEX(Puntos_Jornada!$B$2:$M$25,MATCH(Plantillas!C20,Puntos_Jornada!$A$2:$A$25,0),MATCH($A20,Puntos_Jornada!$B$1:$M$1,0)),0)</f>
        <v>0</v>
      </c>
      <c r="D20" s="6">
        <f>IFERROR(INDEX(Puntos_Jornada!$B$2:$M$25,MATCH(Plantillas!D20,Puntos_Jornada!$A$2:$A$25,0),MATCH($A20,Puntos_Jornada!$B$1:$M$1,0)),0)</f>
        <v>0</v>
      </c>
      <c r="E20" s="6">
        <f>IFERROR(INDEX(Puntos_Jornada!$B$2:$M$25,MATCH(Plantillas!E20,Puntos_Jornada!$A$2:$A$25,0),MATCH($A20,Puntos_Jornada!$B$1:$M$1,0)),0)</f>
        <v>0</v>
      </c>
      <c r="F20" s="6">
        <f>IFERROR(INDEX(Puntos_Jornada!$B$2:$M$25,MATCH(Plantillas!F20,Puntos_Jornada!$A$2:$A$25,0),MATCH($A20,Puntos_Jornada!$B$1:$M$1,0)),0)</f>
        <v>0</v>
      </c>
      <c r="G20" s="6">
        <f>IFERROR(INDEX(Puntos_Jornada!$B$2:$M$25,MATCH(Plantillas!G20,Puntos_Jornada!$A$2:$A$25,0),MATCH($A20,Puntos_Jornada!$B$1:$M$1,0)),0)</f>
        <v>0</v>
      </c>
      <c r="H20" s="6">
        <f>IFERROR(INDEX(Puntos_Jornada!$B$2:$M$25,MATCH(Plantillas!H20,Puntos_Jornada!$A$2:$A$25,0),MATCH($A20,Puntos_Jornada!$B$1:$M$1,0)),0)</f>
        <v>0</v>
      </c>
      <c r="I20" s="15">
        <f t="shared" si="0"/>
        <v>0</v>
      </c>
    </row>
    <row r="21" spans="1:9" x14ac:dyDescent="0.25">
      <c r="A21" s="6">
        <f>Plantillas!A21</f>
        <v>1</v>
      </c>
      <c r="B21" s="13" t="str">
        <f>Plantillas!B21</f>
        <v>Alumno 20</v>
      </c>
      <c r="C21" s="6">
        <f>IFERROR(INDEX(Puntos_Jornada!$B$2:$M$25,MATCH(Plantillas!C21,Puntos_Jornada!$A$2:$A$25,0),MATCH($A21,Puntos_Jornada!$B$1:$M$1,0)),0)</f>
        <v>0</v>
      </c>
      <c r="D21" s="6">
        <f>IFERROR(INDEX(Puntos_Jornada!$B$2:$M$25,MATCH(Plantillas!D21,Puntos_Jornada!$A$2:$A$25,0),MATCH($A21,Puntos_Jornada!$B$1:$M$1,0)),0)</f>
        <v>0</v>
      </c>
      <c r="E21" s="6">
        <f>IFERROR(INDEX(Puntos_Jornada!$B$2:$M$25,MATCH(Plantillas!E21,Puntos_Jornada!$A$2:$A$25,0),MATCH($A21,Puntos_Jornada!$B$1:$M$1,0)),0)</f>
        <v>0</v>
      </c>
      <c r="F21" s="6">
        <f>IFERROR(INDEX(Puntos_Jornada!$B$2:$M$25,MATCH(Plantillas!F21,Puntos_Jornada!$A$2:$A$25,0),MATCH($A21,Puntos_Jornada!$B$1:$M$1,0)),0)</f>
        <v>0</v>
      </c>
      <c r="G21" s="6">
        <f>IFERROR(INDEX(Puntos_Jornada!$B$2:$M$25,MATCH(Plantillas!G21,Puntos_Jornada!$A$2:$A$25,0),MATCH($A21,Puntos_Jornada!$B$1:$M$1,0)),0)</f>
        <v>0</v>
      </c>
      <c r="H21" s="6">
        <f>IFERROR(INDEX(Puntos_Jornada!$B$2:$M$25,MATCH(Plantillas!H21,Puntos_Jornada!$A$2:$A$25,0),MATCH($A21,Puntos_Jornada!$B$1:$M$1,0)),0)</f>
        <v>0</v>
      </c>
      <c r="I21" s="15">
        <f t="shared" si="0"/>
        <v>0</v>
      </c>
    </row>
    <row r="22" spans="1:9" x14ac:dyDescent="0.25">
      <c r="A22" s="6">
        <f>Plantillas!A22</f>
        <v>1</v>
      </c>
      <c r="B22" s="13" t="str">
        <f>Plantillas!B22</f>
        <v>Alumno 21</v>
      </c>
      <c r="C22" s="6">
        <f>IFERROR(INDEX(Puntos_Jornada!$B$2:$M$25,MATCH(Plantillas!C22,Puntos_Jornada!$A$2:$A$25,0),MATCH($A22,Puntos_Jornada!$B$1:$M$1,0)),0)</f>
        <v>0</v>
      </c>
      <c r="D22" s="6">
        <f>IFERROR(INDEX(Puntos_Jornada!$B$2:$M$25,MATCH(Plantillas!D22,Puntos_Jornada!$A$2:$A$25,0),MATCH($A22,Puntos_Jornada!$B$1:$M$1,0)),0)</f>
        <v>0</v>
      </c>
      <c r="E22" s="6">
        <f>IFERROR(INDEX(Puntos_Jornada!$B$2:$M$25,MATCH(Plantillas!E22,Puntos_Jornada!$A$2:$A$25,0),MATCH($A22,Puntos_Jornada!$B$1:$M$1,0)),0)</f>
        <v>0</v>
      </c>
      <c r="F22" s="6">
        <f>IFERROR(INDEX(Puntos_Jornada!$B$2:$M$25,MATCH(Plantillas!F22,Puntos_Jornada!$A$2:$A$25,0),MATCH($A22,Puntos_Jornada!$B$1:$M$1,0)),0)</f>
        <v>0</v>
      </c>
      <c r="G22" s="6">
        <f>IFERROR(INDEX(Puntos_Jornada!$B$2:$M$25,MATCH(Plantillas!G22,Puntos_Jornada!$A$2:$A$25,0),MATCH($A22,Puntos_Jornada!$B$1:$M$1,0)),0)</f>
        <v>0</v>
      </c>
      <c r="H22" s="6">
        <f>IFERROR(INDEX(Puntos_Jornada!$B$2:$M$25,MATCH(Plantillas!H22,Puntos_Jornada!$A$2:$A$25,0),MATCH($A22,Puntos_Jornada!$B$1:$M$1,0)),0)</f>
        <v>0</v>
      </c>
      <c r="I22" s="15">
        <f t="shared" si="0"/>
        <v>0</v>
      </c>
    </row>
    <row r="23" spans="1:9" x14ac:dyDescent="0.25">
      <c r="A23" s="6">
        <f>Plantillas!A23</f>
        <v>1</v>
      </c>
      <c r="B23" s="13" t="str">
        <f>Plantillas!B23</f>
        <v>Alumno 22</v>
      </c>
      <c r="C23" s="6">
        <f>IFERROR(INDEX(Puntos_Jornada!$B$2:$M$25,MATCH(Plantillas!C23,Puntos_Jornada!$A$2:$A$25,0),MATCH($A23,Puntos_Jornada!$B$1:$M$1,0)),0)</f>
        <v>0</v>
      </c>
      <c r="D23" s="6">
        <f>IFERROR(INDEX(Puntos_Jornada!$B$2:$M$25,MATCH(Plantillas!D23,Puntos_Jornada!$A$2:$A$25,0),MATCH($A23,Puntos_Jornada!$B$1:$M$1,0)),0)</f>
        <v>0</v>
      </c>
      <c r="E23" s="6">
        <f>IFERROR(INDEX(Puntos_Jornada!$B$2:$M$25,MATCH(Plantillas!E23,Puntos_Jornada!$A$2:$A$25,0),MATCH($A23,Puntos_Jornada!$B$1:$M$1,0)),0)</f>
        <v>0</v>
      </c>
      <c r="F23" s="6">
        <f>IFERROR(INDEX(Puntos_Jornada!$B$2:$M$25,MATCH(Plantillas!F23,Puntos_Jornada!$A$2:$A$25,0),MATCH($A23,Puntos_Jornada!$B$1:$M$1,0)),0)</f>
        <v>0</v>
      </c>
      <c r="G23" s="6">
        <f>IFERROR(INDEX(Puntos_Jornada!$B$2:$M$25,MATCH(Plantillas!G23,Puntos_Jornada!$A$2:$A$25,0),MATCH($A23,Puntos_Jornada!$B$1:$M$1,0)),0)</f>
        <v>0</v>
      </c>
      <c r="H23" s="6">
        <f>IFERROR(INDEX(Puntos_Jornada!$B$2:$M$25,MATCH(Plantillas!H23,Puntos_Jornada!$A$2:$A$25,0),MATCH($A23,Puntos_Jornada!$B$1:$M$1,0)),0)</f>
        <v>0</v>
      </c>
      <c r="I23" s="15">
        <f t="shared" si="0"/>
        <v>0</v>
      </c>
    </row>
    <row r="24" spans="1:9" x14ac:dyDescent="0.25">
      <c r="A24" s="6">
        <f>Plantillas!A24</f>
        <v>1</v>
      </c>
      <c r="B24" s="13" t="str">
        <f>Plantillas!B24</f>
        <v>Alumno 23</v>
      </c>
      <c r="C24" s="6">
        <f>IFERROR(INDEX(Puntos_Jornada!$B$2:$M$25,MATCH(Plantillas!C24,Puntos_Jornada!$A$2:$A$25,0),MATCH($A24,Puntos_Jornada!$B$1:$M$1,0)),0)</f>
        <v>0</v>
      </c>
      <c r="D24" s="6">
        <f>IFERROR(INDEX(Puntos_Jornada!$B$2:$M$25,MATCH(Plantillas!D24,Puntos_Jornada!$A$2:$A$25,0),MATCH($A24,Puntos_Jornada!$B$1:$M$1,0)),0)</f>
        <v>0</v>
      </c>
      <c r="E24" s="6">
        <f>IFERROR(INDEX(Puntos_Jornada!$B$2:$M$25,MATCH(Plantillas!E24,Puntos_Jornada!$A$2:$A$25,0),MATCH($A24,Puntos_Jornada!$B$1:$M$1,0)),0)</f>
        <v>0</v>
      </c>
      <c r="F24" s="6">
        <f>IFERROR(INDEX(Puntos_Jornada!$B$2:$M$25,MATCH(Plantillas!F24,Puntos_Jornada!$A$2:$A$25,0),MATCH($A24,Puntos_Jornada!$B$1:$M$1,0)),0)</f>
        <v>0</v>
      </c>
      <c r="G24" s="6">
        <f>IFERROR(INDEX(Puntos_Jornada!$B$2:$M$25,MATCH(Plantillas!G24,Puntos_Jornada!$A$2:$A$25,0),MATCH($A24,Puntos_Jornada!$B$1:$M$1,0)),0)</f>
        <v>0</v>
      </c>
      <c r="H24" s="6">
        <f>IFERROR(INDEX(Puntos_Jornada!$B$2:$M$25,MATCH(Plantillas!H24,Puntos_Jornada!$A$2:$A$25,0),MATCH($A24,Puntos_Jornada!$B$1:$M$1,0)),0)</f>
        <v>0</v>
      </c>
      <c r="I24" s="15">
        <f t="shared" si="0"/>
        <v>0</v>
      </c>
    </row>
    <row r="25" spans="1:9" x14ac:dyDescent="0.25">
      <c r="A25" s="6">
        <f>Plantillas!A25</f>
        <v>1</v>
      </c>
      <c r="B25" s="13" t="str">
        <f>Plantillas!B25</f>
        <v>Alumno 24</v>
      </c>
      <c r="C25" s="6">
        <f>IFERROR(INDEX(Puntos_Jornada!$B$2:$M$25,MATCH(Plantillas!C25,Puntos_Jornada!$A$2:$A$25,0),MATCH($A25,Puntos_Jornada!$B$1:$M$1,0)),0)</f>
        <v>0</v>
      </c>
      <c r="D25" s="6">
        <f>IFERROR(INDEX(Puntos_Jornada!$B$2:$M$25,MATCH(Plantillas!D25,Puntos_Jornada!$A$2:$A$25,0),MATCH($A25,Puntos_Jornada!$B$1:$M$1,0)),0)</f>
        <v>0</v>
      </c>
      <c r="E25" s="6">
        <f>IFERROR(INDEX(Puntos_Jornada!$B$2:$M$25,MATCH(Plantillas!E25,Puntos_Jornada!$A$2:$A$25,0),MATCH($A25,Puntos_Jornada!$B$1:$M$1,0)),0)</f>
        <v>0</v>
      </c>
      <c r="F25" s="6">
        <f>IFERROR(INDEX(Puntos_Jornada!$B$2:$M$25,MATCH(Plantillas!F25,Puntos_Jornada!$A$2:$A$25,0),MATCH($A25,Puntos_Jornada!$B$1:$M$1,0)),0)</f>
        <v>0</v>
      </c>
      <c r="G25" s="6">
        <f>IFERROR(INDEX(Puntos_Jornada!$B$2:$M$25,MATCH(Plantillas!G25,Puntos_Jornada!$A$2:$A$25,0),MATCH($A25,Puntos_Jornada!$B$1:$M$1,0)),0)</f>
        <v>0</v>
      </c>
      <c r="H25" s="6">
        <f>IFERROR(INDEX(Puntos_Jornada!$B$2:$M$25,MATCH(Plantillas!H25,Puntos_Jornada!$A$2:$A$25,0),MATCH($A25,Puntos_Jornada!$B$1:$M$1,0)),0)</f>
        <v>0</v>
      </c>
      <c r="I25" s="15">
        <f t="shared" si="0"/>
        <v>0</v>
      </c>
    </row>
    <row r="26" spans="1:9" x14ac:dyDescent="0.25">
      <c r="A26" s="6">
        <f>Plantillas!A26</f>
        <v>2</v>
      </c>
      <c r="B26" s="13" t="str">
        <f>Plantillas!B26</f>
        <v>Alumno 1</v>
      </c>
      <c r="C26" s="6">
        <f>IFERROR(INDEX(Puntos_Jornada!$B$2:$M$25,MATCH(Plantillas!C26,Puntos_Jornada!$A$2:$A$25,0),MATCH($A26,Puntos_Jornada!$B$1:$M$1,0)),0)</f>
        <v>0</v>
      </c>
      <c r="D26" s="6">
        <f>IFERROR(INDEX(Puntos_Jornada!$B$2:$M$25,MATCH(Plantillas!D26,Puntos_Jornada!$A$2:$A$25,0),MATCH($A26,Puntos_Jornada!$B$1:$M$1,0)),0)</f>
        <v>0</v>
      </c>
      <c r="E26" s="6">
        <f>IFERROR(INDEX(Puntos_Jornada!$B$2:$M$25,MATCH(Plantillas!E26,Puntos_Jornada!$A$2:$A$25,0),MATCH($A26,Puntos_Jornada!$B$1:$M$1,0)),0)</f>
        <v>0</v>
      </c>
      <c r="F26" s="6">
        <f>IFERROR(INDEX(Puntos_Jornada!$B$2:$M$25,MATCH(Plantillas!F26,Puntos_Jornada!$A$2:$A$25,0),MATCH($A26,Puntos_Jornada!$B$1:$M$1,0)),0)</f>
        <v>0</v>
      </c>
      <c r="G26" s="6">
        <f>IFERROR(INDEX(Puntos_Jornada!$B$2:$M$25,MATCH(Plantillas!G26,Puntos_Jornada!$A$2:$A$25,0),MATCH($A26,Puntos_Jornada!$B$1:$M$1,0)),0)</f>
        <v>0</v>
      </c>
      <c r="H26" s="6">
        <f>IFERROR(INDEX(Puntos_Jornada!$B$2:$M$25,MATCH(Plantillas!H26,Puntos_Jornada!$A$2:$A$25,0),MATCH($A26,Puntos_Jornada!$B$1:$M$1,0)),0)</f>
        <v>0</v>
      </c>
      <c r="I26" s="15">
        <f t="shared" si="0"/>
        <v>0</v>
      </c>
    </row>
    <row r="27" spans="1:9" x14ac:dyDescent="0.25">
      <c r="A27" s="6">
        <f>Plantillas!A27</f>
        <v>2</v>
      </c>
      <c r="B27" s="13" t="str">
        <f>Plantillas!B27</f>
        <v>Alumno 2</v>
      </c>
      <c r="C27" s="6">
        <f>IFERROR(INDEX(Puntos_Jornada!$B$2:$M$25,MATCH(Plantillas!C27,Puntos_Jornada!$A$2:$A$25,0),MATCH($A27,Puntos_Jornada!$B$1:$M$1,0)),0)</f>
        <v>0</v>
      </c>
      <c r="D27" s="6">
        <f>IFERROR(INDEX(Puntos_Jornada!$B$2:$M$25,MATCH(Plantillas!D27,Puntos_Jornada!$A$2:$A$25,0),MATCH($A27,Puntos_Jornada!$B$1:$M$1,0)),0)</f>
        <v>0</v>
      </c>
      <c r="E27" s="6">
        <f>IFERROR(INDEX(Puntos_Jornada!$B$2:$M$25,MATCH(Plantillas!E27,Puntos_Jornada!$A$2:$A$25,0),MATCH($A27,Puntos_Jornada!$B$1:$M$1,0)),0)</f>
        <v>0</v>
      </c>
      <c r="F27" s="6">
        <f>IFERROR(INDEX(Puntos_Jornada!$B$2:$M$25,MATCH(Plantillas!F27,Puntos_Jornada!$A$2:$A$25,0),MATCH($A27,Puntos_Jornada!$B$1:$M$1,0)),0)</f>
        <v>0</v>
      </c>
      <c r="G27" s="6">
        <f>IFERROR(INDEX(Puntos_Jornada!$B$2:$M$25,MATCH(Plantillas!G27,Puntos_Jornada!$A$2:$A$25,0),MATCH($A27,Puntos_Jornada!$B$1:$M$1,0)),0)</f>
        <v>0</v>
      </c>
      <c r="H27" s="6">
        <f>IFERROR(INDEX(Puntos_Jornada!$B$2:$M$25,MATCH(Plantillas!H27,Puntos_Jornada!$A$2:$A$25,0),MATCH($A27,Puntos_Jornada!$B$1:$M$1,0)),0)</f>
        <v>0</v>
      </c>
      <c r="I27" s="15">
        <f t="shared" si="0"/>
        <v>0</v>
      </c>
    </row>
    <row r="28" spans="1:9" x14ac:dyDescent="0.25">
      <c r="A28" s="6">
        <f>Plantillas!A28</f>
        <v>2</v>
      </c>
      <c r="B28" s="13" t="str">
        <f>Plantillas!B28</f>
        <v>Alumno 3</v>
      </c>
      <c r="C28" s="6">
        <f>IFERROR(INDEX(Puntos_Jornada!$B$2:$M$25,MATCH(Plantillas!C28,Puntos_Jornada!$A$2:$A$25,0),MATCH($A28,Puntos_Jornada!$B$1:$M$1,0)),0)</f>
        <v>0</v>
      </c>
      <c r="D28" s="6">
        <f>IFERROR(INDEX(Puntos_Jornada!$B$2:$M$25,MATCH(Plantillas!D28,Puntos_Jornada!$A$2:$A$25,0),MATCH($A28,Puntos_Jornada!$B$1:$M$1,0)),0)</f>
        <v>0</v>
      </c>
      <c r="E28" s="6">
        <f>IFERROR(INDEX(Puntos_Jornada!$B$2:$M$25,MATCH(Plantillas!E28,Puntos_Jornada!$A$2:$A$25,0),MATCH($A28,Puntos_Jornada!$B$1:$M$1,0)),0)</f>
        <v>0</v>
      </c>
      <c r="F28" s="6">
        <f>IFERROR(INDEX(Puntos_Jornada!$B$2:$M$25,MATCH(Plantillas!F28,Puntos_Jornada!$A$2:$A$25,0),MATCH($A28,Puntos_Jornada!$B$1:$M$1,0)),0)</f>
        <v>0</v>
      </c>
      <c r="G28" s="6">
        <f>IFERROR(INDEX(Puntos_Jornada!$B$2:$M$25,MATCH(Plantillas!G28,Puntos_Jornada!$A$2:$A$25,0),MATCH($A28,Puntos_Jornada!$B$1:$M$1,0)),0)</f>
        <v>0</v>
      </c>
      <c r="H28" s="6">
        <f>IFERROR(INDEX(Puntos_Jornada!$B$2:$M$25,MATCH(Plantillas!H28,Puntos_Jornada!$A$2:$A$25,0),MATCH($A28,Puntos_Jornada!$B$1:$M$1,0)),0)</f>
        <v>0</v>
      </c>
      <c r="I28" s="15">
        <f t="shared" si="0"/>
        <v>0</v>
      </c>
    </row>
    <row r="29" spans="1:9" x14ac:dyDescent="0.25">
      <c r="A29" s="6">
        <f>Plantillas!A29</f>
        <v>2</v>
      </c>
      <c r="B29" s="13" t="str">
        <f>Plantillas!B29</f>
        <v>Alumno 4</v>
      </c>
      <c r="C29" s="6">
        <f>IFERROR(INDEX(Puntos_Jornada!$B$2:$M$25,MATCH(Plantillas!C29,Puntos_Jornada!$A$2:$A$25,0),MATCH($A29,Puntos_Jornada!$B$1:$M$1,0)),0)</f>
        <v>0</v>
      </c>
      <c r="D29" s="6">
        <f>IFERROR(INDEX(Puntos_Jornada!$B$2:$M$25,MATCH(Plantillas!D29,Puntos_Jornada!$A$2:$A$25,0),MATCH($A29,Puntos_Jornada!$B$1:$M$1,0)),0)</f>
        <v>0</v>
      </c>
      <c r="E29" s="6">
        <f>IFERROR(INDEX(Puntos_Jornada!$B$2:$M$25,MATCH(Plantillas!E29,Puntos_Jornada!$A$2:$A$25,0),MATCH($A29,Puntos_Jornada!$B$1:$M$1,0)),0)</f>
        <v>0</v>
      </c>
      <c r="F29" s="6">
        <f>IFERROR(INDEX(Puntos_Jornada!$B$2:$M$25,MATCH(Plantillas!F29,Puntos_Jornada!$A$2:$A$25,0),MATCH($A29,Puntos_Jornada!$B$1:$M$1,0)),0)</f>
        <v>0</v>
      </c>
      <c r="G29" s="6">
        <f>IFERROR(INDEX(Puntos_Jornada!$B$2:$M$25,MATCH(Plantillas!G29,Puntos_Jornada!$A$2:$A$25,0),MATCH($A29,Puntos_Jornada!$B$1:$M$1,0)),0)</f>
        <v>0</v>
      </c>
      <c r="H29" s="6">
        <f>IFERROR(INDEX(Puntos_Jornada!$B$2:$M$25,MATCH(Plantillas!H29,Puntos_Jornada!$A$2:$A$25,0),MATCH($A29,Puntos_Jornada!$B$1:$M$1,0)),0)</f>
        <v>0</v>
      </c>
      <c r="I29" s="15">
        <f t="shared" si="0"/>
        <v>0</v>
      </c>
    </row>
    <row r="30" spans="1:9" x14ac:dyDescent="0.25">
      <c r="A30" s="6">
        <f>Plantillas!A30</f>
        <v>2</v>
      </c>
      <c r="B30" s="13" t="str">
        <f>Plantillas!B30</f>
        <v>Alumno 5</v>
      </c>
      <c r="C30" s="6">
        <f>IFERROR(INDEX(Puntos_Jornada!$B$2:$M$25,MATCH(Plantillas!C30,Puntos_Jornada!$A$2:$A$25,0),MATCH($A30,Puntos_Jornada!$B$1:$M$1,0)),0)</f>
        <v>0</v>
      </c>
      <c r="D30" s="6">
        <f>IFERROR(INDEX(Puntos_Jornada!$B$2:$M$25,MATCH(Plantillas!D30,Puntos_Jornada!$A$2:$A$25,0),MATCH($A30,Puntos_Jornada!$B$1:$M$1,0)),0)</f>
        <v>0</v>
      </c>
      <c r="E30" s="6">
        <f>IFERROR(INDEX(Puntos_Jornada!$B$2:$M$25,MATCH(Plantillas!E30,Puntos_Jornada!$A$2:$A$25,0),MATCH($A30,Puntos_Jornada!$B$1:$M$1,0)),0)</f>
        <v>0</v>
      </c>
      <c r="F30" s="6">
        <f>IFERROR(INDEX(Puntos_Jornada!$B$2:$M$25,MATCH(Plantillas!F30,Puntos_Jornada!$A$2:$A$25,0),MATCH($A30,Puntos_Jornada!$B$1:$M$1,0)),0)</f>
        <v>0</v>
      </c>
      <c r="G30" s="6">
        <f>IFERROR(INDEX(Puntos_Jornada!$B$2:$M$25,MATCH(Plantillas!G30,Puntos_Jornada!$A$2:$A$25,0),MATCH($A30,Puntos_Jornada!$B$1:$M$1,0)),0)</f>
        <v>0</v>
      </c>
      <c r="H30" s="6">
        <f>IFERROR(INDEX(Puntos_Jornada!$B$2:$M$25,MATCH(Plantillas!H30,Puntos_Jornada!$A$2:$A$25,0),MATCH($A30,Puntos_Jornada!$B$1:$M$1,0)),0)</f>
        <v>0</v>
      </c>
      <c r="I30" s="15">
        <f t="shared" si="0"/>
        <v>0</v>
      </c>
    </row>
    <row r="31" spans="1:9" x14ac:dyDescent="0.25">
      <c r="A31" s="6">
        <f>Plantillas!A31</f>
        <v>2</v>
      </c>
      <c r="B31" s="13" t="str">
        <f>Plantillas!B31</f>
        <v>Alumno 6</v>
      </c>
      <c r="C31" s="6">
        <f>IFERROR(INDEX(Puntos_Jornada!$B$2:$M$25,MATCH(Plantillas!C31,Puntos_Jornada!$A$2:$A$25,0),MATCH($A31,Puntos_Jornada!$B$1:$M$1,0)),0)</f>
        <v>0</v>
      </c>
      <c r="D31" s="6">
        <f>IFERROR(INDEX(Puntos_Jornada!$B$2:$M$25,MATCH(Plantillas!D31,Puntos_Jornada!$A$2:$A$25,0),MATCH($A31,Puntos_Jornada!$B$1:$M$1,0)),0)</f>
        <v>0</v>
      </c>
      <c r="E31" s="6">
        <f>IFERROR(INDEX(Puntos_Jornada!$B$2:$M$25,MATCH(Plantillas!E31,Puntos_Jornada!$A$2:$A$25,0),MATCH($A31,Puntos_Jornada!$B$1:$M$1,0)),0)</f>
        <v>0</v>
      </c>
      <c r="F31" s="6">
        <f>IFERROR(INDEX(Puntos_Jornada!$B$2:$M$25,MATCH(Plantillas!F31,Puntos_Jornada!$A$2:$A$25,0),MATCH($A31,Puntos_Jornada!$B$1:$M$1,0)),0)</f>
        <v>0</v>
      </c>
      <c r="G31" s="6">
        <f>IFERROR(INDEX(Puntos_Jornada!$B$2:$M$25,MATCH(Plantillas!G31,Puntos_Jornada!$A$2:$A$25,0),MATCH($A31,Puntos_Jornada!$B$1:$M$1,0)),0)</f>
        <v>0</v>
      </c>
      <c r="H31" s="6">
        <f>IFERROR(INDEX(Puntos_Jornada!$B$2:$M$25,MATCH(Plantillas!H31,Puntos_Jornada!$A$2:$A$25,0),MATCH($A31,Puntos_Jornada!$B$1:$M$1,0)),0)</f>
        <v>0</v>
      </c>
      <c r="I31" s="15">
        <f t="shared" si="0"/>
        <v>0</v>
      </c>
    </row>
    <row r="32" spans="1:9" x14ac:dyDescent="0.25">
      <c r="A32" s="6">
        <f>Plantillas!A32</f>
        <v>2</v>
      </c>
      <c r="B32" s="13" t="str">
        <f>Plantillas!B32</f>
        <v>Alumno 7</v>
      </c>
      <c r="C32" s="6">
        <f>IFERROR(INDEX(Puntos_Jornada!$B$2:$M$25,MATCH(Plantillas!C32,Puntos_Jornada!$A$2:$A$25,0),MATCH($A32,Puntos_Jornada!$B$1:$M$1,0)),0)</f>
        <v>0</v>
      </c>
      <c r="D32" s="6">
        <f>IFERROR(INDEX(Puntos_Jornada!$B$2:$M$25,MATCH(Plantillas!D32,Puntos_Jornada!$A$2:$A$25,0),MATCH($A32,Puntos_Jornada!$B$1:$M$1,0)),0)</f>
        <v>0</v>
      </c>
      <c r="E32" s="6">
        <f>IFERROR(INDEX(Puntos_Jornada!$B$2:$M$25,MATCH(Plantillas!E32,Puntos_Jornada!$A$2:$A$25,0),MATCH($A32,Puntos_Jornada!$B$1:$M$1,0)),0)</f>
        <v>0</v>
      </c>
      <c r="F32" s="6">
        <f>IFERROR(INDEX(Puntos_Jornada!$B$2:$M$25,MATCH(Plantillas!F32,Puntos_Jornada!$A$2:$A$25,0),MATCH($A32,Puntos_Jornada!$B$1:$M$1,0)),0)</f>
        <v>0</v>
      </c>
      <c r="G32" s="6">
        <f>IFERROR(INDEX(Puntos_Jornada!$B$2:$M$25,MATCH(Plantillas!G32,Puntos_Jornada!$A$2:$A$25,0),MATCH($A32,Puntos_Jornada!$B$1:$M$1,0)),0)</f>
        <v>0</v>
      </c>
      <c r="H32" s="6">
        <f>IFERROR(INDEX(Puntos_Jornada!$B$2:$M$25,MATCH(Plantillas!H32,Puntos_Jornada!$A$2:$A$25,0),MATCH($A32,Puntos_Jornada!$B$1:$M$1,0)),0)</f>
        <v>0</v>
      </c>
      <c r="I32" s="15">
        <f t="shared" si="0"/>
        <v>0</v>
      </c>
    </row>
    <row r="33" spans="1:9" x14ac:dyDescent="0.25">
      <c r="A33" s="6">
        <f>Plantillas!A33</f>
        <v>2</v>
      </c>
      <c r="B33" s="13" t="str">
        <f>Plantillas!B33</f>
        <v>Alumno 8</v>
      </c>
      <c r="C33" s="6">
        <f>IFERROR(INDEX(Puntos_Jornada!$B$2:$M$25,MATCH(Plantillas!C33,Puntos_Jornada!$A$2:$A$25,0),MATCH($A33,Puntos_Jornada!$B$1:$M$1,0)),0)</f>
        <v>0</v>
      </c>
      <c r="D33" s="6">
        <f>IFERROR(INDEX(Puntos_Jornada!$B$2:$M$25,MATCH(Plantillas!D33,Puntos_Jornada!$A$2:$A$25,0),MATCH($A33,Puntos_Jornada!$B$1:$M$1,0)),0)</f>
        <v>0</v>
      </c>
      <c r="E33" s="6">
        <f>IFERROR(INDEX(Puntos_Jornada!$B$2:$M$25,MATCH(Plantillas!E33,Puntos_Jornada!$A$2:$A$25,0),MATCH($A33,Puntos_Jornada!$B$1:$M$1,0)),0)</f>
        <v>0</v>
      </c>
      <c r="F33" s="6">
        <f>IFERROR(INDEX(Puntos_Jornada!$B$2:$M$25,MATCH(Plantillas!F33,Puntos_Jornada!$A$2:$A$25,0),MATCH($A33,Puntos_Jornada!$B$1:$M$1,0)),0)</f>
        <v>0</v>
      </c>
      <c r="G33" s="6">
        <f>IFERROR(INDEX(Puntos_Jornada!$B$2:$M$25,MATCH(Plantillas!G33,Puntos_Jornada!$A$2:$A$25,0),MATCH($A33,Puntos_Jornada!$B$1:$M$1,0)),0)</f>
        <v>0</v>
      </c>
      <c r="H33" s="6">
        <f>IFERROR(INDEX(Puntos_Jornada!$B$2:$M$25,MATCH(Plantillas!H33,Puntos_Jornada!$A$2:$A$25,0),MATCH($A33,Puntos_Jornada!$B$1:$M$1,0)),0)</f>
        <v>0</v>
      </c>
      <c r="I33" s="15">
        <f t="shared" si="0"/>
        <v>0</v>
      </c>
    </row>
    <row r="34" spans="1:9" x14ac:dyDescent="0.25">
      <c r="A34" s="6">
        <f>Plantillas!A34</f>
        <v>2</v>
      </c>
      <c r="B34" s="13" t="str">
        <f>Plantillas!B34</f>
        <v>Alumno 9</v>
      </c>
      <c r="C34" s="6">
        <f>IFERROR(INDEX(Puntos_Jornada!$B$2:$M$25,MATCH(Plantillas!C34,Puntos_Jornada!$A$2:$A$25,0),MATCH($A34,Puntos_Jornada!$B$1:$M$1,0)),0)</f>
        <v>0</v>
      </c>
      <c r="D34" s="6">
        <f>IFERROR(INDEX(Puntos_Jornada!$B$2:$M$25,MATCH(Plantillas!D34,Puntos_Jornada!$A$2:$A$25,0),MATCH($A34,Puntos_Jornada!$B$1:$M$1,0)),0)</f>
        <v>0</v>
      </c>
      <c r="E34" s="6">
        <f>IFERROR(INDEX(Puntos_Jornada!$B$2:$M$25,MATCH(Plantillas!E34,Puntos_Jornada!$A$2:$A$25,0),MATCH($A34,Puntos_Jornada!$B$1:$M$1,0)),0)</f>
        <v>0</v>
      </c>
      <c r="F34" s="6">
        <f>IFERROR(INDEX(Puntos_Jornada!$B$2:$M$25,MATCH(Plantillas!F34,Puntos_Jornada!$A$2:$A$25,0),MATCH($A34,Puntos_Jornada!$B$1:$M$1,0)),0)</f>
        <v>0</v>
      </c>
      <c r="G34" s="6">
        <f>IFERROR(INDEX(Puntos_Jornada!$B$2:$M$25,MATCH(Plantillas!G34,Puntos_Jornada!$A$2:$A$25,0),MATCH($A34,Puntos_Jornada!$B$1:$M$1,0)),0)</f>
        <v>0</v>
      </c>
      <c r="H34" s="6">
        <f>IFERROR(INDEX(Puntos_Jornada!$B$2:$M$25,MATCH(Plantillas!H34,Puntos_Jornada!$A$2:$A$25,0),MATCH($A34,Puntos_Jornada!$B$1:$M$1,0)),0)</f>
        <v>0</v>
      </c>
      <c r="I34" s="15">
        <f t="shared" si="0"/>
        <v>0</v>
      </c>
    </row>
    <row r="35" spans="1:9" x14ac:dyDescent="0.25">
      <c r="A35" s="6">
        <f>Plantillas!A35</f>
        <v>2</v>
      </c>
      <c r="B35" s="13" t="str">
        <f>Plantillas!B35</f>
        <v>Alumno 10</v>
      </c>
      <c r="C35" s="6">
        <f>IFERROR(INDEX(Puntos_Jornada!$B$2:$M$25,MATCH(Plantillas!C35,Puntos_Jornada!$A$2:$A$25,0),MATCH($A35,Puntos_Jornada!$B$1:$M$1,0)),0)</f>
        <v>0</v>
      </c>
      <c r="D35" s="6">
        <f>IFERROR(INDEX(Puntos_Jornada!$B$2:$M$25,MATCH(Plantillas!D35,Puntos_Jornada!$A$2:$A$25,0),MATCH($A35,Puntos_Jornada!$B$1:$M$1,0)),0)</f>
        <v>0</v>
      </c>
      <c r="E35" s="6">
        <f>IFERROR(INDEX(Puntos_Jornada!$B$2:$M$25,MATCH(Plantillas!E35,Puntos_Jornada!$A$2:$A$25,0),MATCH($A35,Puntos_Jornada!$B$1:$M$1,0)),0)</f>
        <v>0</v>
      </c>
      <c r="F35" s="6">
        <f>IFERROR(INDEX(Puntos_Jornada!$B$2:$M$25,MATCH(Plantillas!F35,Puntos_Jornada!$A$2:$A$25,0),MATCH($A35,Puntos_Jornada!$B$1:$M$1,0)),0)</f>
        <v>0</v>
      </c>
      <c r="G35" s="6">
        <f>IFERROR(INDEX(Puntos_Jornada!$B$2:$M$25,MATCH(Plantillas!G35,Puntos_Jornada!$A$2:$A$25,0),MATCH($A35,Puntos_Jornada!$B$1:$M$1,0)),0)</f>
        <v>0</v>
      </c>
      <c r="H35" s="6">
        <f>IFERROR(INDEX(Puntos_Jornada!$B$2:$M$25,MATCH(Plantillas!H35,Puntos_Jornada!$A$2:$A$25,0),MATCH($A35,Puntos_Jornada!$B$1:$M$1,0)),0)</f>
        <v>0</v>
      </c>
      <c r="I35" s="15">
        <f t="shared" si="0"/>
        <v>0</v>
      </c>
    </row>
    <row r="36" spans="1:9" x14ac:dyDescent="0.25">
      <c r="A36" s="6">
        <f>Plantillas!A36</f>
        <v>2</v>
      </c>
      <c r="B36" s="13" t="str">
        <f>Plantillas!B36</f>
        <v>Alumno 11</v>
      </c>
      <c r="C36" s="6">
        <f>IFERROR(INDEX(Puntos_Jornada!$B$2:$M$25,MATCH(Plantillas!C36,Puntos_Jornada!$A$2:$A$25,0),MATCH($A36,Puntos_Jornada!$B$1:$M$1,0)),0)</f>
        <v>0</v>
      </c>
      <c r="D36" s="6">
        <f>IFERROR(INDEX(Puntos_Jornada!$B$2:$M$25,MATCH(Plantillas!D36,Puntos_Jornada!$A$2:$A$25,0),MATCH($A36,Puntos_Jornada!$B$1:$M$1,0)),0)</f>
        <v>0</v>
      </c>
      <c r="E36" s="6">
        <f>IFERROR(INDEX(Puntos_Jornada!$B$2:$M$25,MATCH(Plantillas!E36,Puntos_Jornada!$A$2:$A$25,0),MATCH($A36,Puntos_Jornada!$B$1:$M$1,0)),0)</f>
        <v>0</v>
      </c>
      <c r="F36" s="6">
        <f>IFERROR(INDEX(Puntos_Jornada!$B$2:$M$25,MATCH(Plantillas!F36,Puntos_Jornada!$A$2:$A$25,0),MATCH($A36,Puntos_Jornada!$B$1:$M$1,0)),0)</f>
        <v>0</v>
      </c>
      <c r="G36" s="6">
        <f>IFERROR(INDEX(Puntos_Jornada!$B$2:$M$25,MATCH(Plantillas!G36,Puntos_Jornada!$A$2:$A$25,0),MATCH($A36,Puntos_Jornada!$B$1:$M$1,0)),0)</f>
        <v>0</v>
      </c>
      <c r="H36" s="6">
        <f>IFERROR(INDEX(Puntos_Jornada!$B$2:$M$25,MATCH(Plantillas!H36,Puntos_Jornada!$A$2:$A$25,0),MATCH($A36,Puntos_Jornada!$B$1:$M$1,0)),0)</f>
        <v>0</v>
      </c>
      <c r="I36" s="15">
        <f t="shared" si="0"/>
        <v>0</v>
      </c>
    </row>
    <row r="37" spans="1:9" x14ac:dyDescent="0.25">
      <c r="A37" s="6">
        <f>Plantillas!A37</f>
        <v>2</v>
      </c>
      <c r="B37" s="13" t="str">
        <f>Plantillas!B37</f>
        <v>Alumno 12</v>
      </c>
      <c r="C37" s="6">
        <f>IFERROR(INDEX(Puntos_Jornada!$B$2:$M$25,MATCH(Plantillas!C37,Puntos_Jornada!$A$2:$A$25,0),MATCH($A37,Puntos_Jornada!$B$1:$M$1,0)),0)</f>
        <v>0</v>
      </c>
      <c r="D37" s="6">
        <f>IFERROR(INDEX(Puntos_Jornada!$B$2:$M$25,MATCH(Plantillas!D37,Puntos_Jornada!$A$2:$A$25,0),MATCH($A37,Puntos_Jornada!$B$1:$M$1,0)),0)</f>
        <v>0</v>
      </c>
      <c r="E37" s="6">
        <f>IFERROR(INDEX(Puntos_Jornada!$B$2:$M$25,MATCH(Plantillas!E37,Puntos_Jornada!$A$2:$A$25,0),MATCH($A37,Puntos_Jornada!$B$1:$M$1,0)),0)</f>
        <v>0</v>
      </c>
      <c r="F37" s="6">
        <f>IFERROR(INDEX(Puntos_Jornada!$B$2:$M$25,MATCH(Plantillas!F37,Puntos_Jornada!$A$2:$A$25,0),MATCH($A37,Puntos_Jornada!$B$1:$M$1,0)),0)</f>
        <v>0</v>
      </c>
      <c r="G37" s="6">
        <f>IFERROR(INDEX(Puntos_Jornada!$B$2:$M$25,MATCH(Plantillas!G37,Puntos_Jornada!$A$2:$A$25,0),MATCH($A37,Puntos_Jornada!$B$1:$M$1,0)),0)</f>
        <v>0</v>
      </c>
      <c r="H37" s="6">
        <f>IFERROR(INDEX(Puntos_Jornada!$B$2:$M$25,MATCH(Plantillas!H37,Puntos_Jornada!$A$2:$A$25,0),MATCH($A37,Puntos_Jornada!$B$1:$M$1,0)),0)</f>
        <v>0</v>
      </c>
      <c r="I37" s="15">
        <f t="shared" si="0"/>
        <v>0</v>
      </c>
    </row>
    <row r="38" spans="1:9" x14ac:dyDescent="0.25">
      <c r="A38" s="6">
        <f>Plantillas!A38</f>
        <v>2</v>
      </c>
      <c r="B38" s="13" t="str">
        <f>Plantillas!B38</f>
        <v>Alumno 13</v>
      </c>
      <c r="C38" s="6">
        <f>IFERROR(INDEX(Puntos_Jornada!$B$2:$M$25,MATCH(Plantillas!C38,Puntos_Jornada!$A$2:$A$25,0),MATCH($A38,Puntos_Jornada!$B$1:$M$1,0)),0)</f>
        <v>0</v>
      </c>
      <c r="D38" s="6">
        <f>IFERROR(INDEX(Puntos_Jornada!$B$2:$M$25,MATCH(Plantillas!D38,Puntos_Jornada!$A$2:$A$25,0),MATCH($A38,Puntos_Jornada!$B$1:$M$1,0)),0)</f>
        <v>0</v>
      </c>
      <c r="E38" s="6">
        <f>IFERROR(INDEX(Puntos_Jornada!$B$2:$M$25,MATCH(Plantillas!E38,Puntos_Jornada!$A$2:$A$25,0),MATCH($A38,Puntos_Jornada!$B$1:$M$1,0)),0)</f>
        <v>0</v>
      </c>
      <c r="F38" s="6">
        <f>IFERROR(INDEX(Puntos_Jornada!$B$2:$M$25,MATCH(Plantillas!F38,Puntos_Jornada!$A$2:$A$25,0),MATCH($A38,Puntos_Jornada!$B$1:$M$1,0)),0)</f>
        <v>0</v>
      </c>
      <c r="G38" s="6">
        <f>IFERROR(INDEX(Puntos_Jornada!$B$2:$M$25,MATCH(Plantillas!G38,Puntos_Jornada!$A$2:$A$25,0),MATCH($A38,Puntos_Jornada!$B$1:$M$1,0)),0)</f>
        <v>0</v>
      </c>
      <c r="H38" s="6">
        <f>IFERROR(INDEX(Puntos_Jornada!$B$2:$M$25,MATCH(Plantillas!H38,Puntos_Jornada!$A$2:$A$25,0),MATCH($A38,Puntos_Jornada!$B$1:$M$1,0)),0)</f>
        <v>0</v>
      </c>
      <c r="I38" s="15">
        <f t="shared" si="0"/>
        <v>0</v>
      </c>
    </row>
    <row r="39" spans="1:9" x14ac:dyDescent="0.25">
      <c r="A39" s="6">
        <f>Plantillas!A39</f>
        <v>2</v>
      </c>
      <c r="B39" s="13" t="str">
        <f>Plantillas!B39</f>
        <v>Alumno 14</v>
      </c>
      <c r="C39" s="6">
        <f>IFERROR(INDEX(Puntos_Jornada!$B$2:$M$25,MATCH(Plantillas!C39,Puntos_Jornada!$A$2:$A$25,0),MATCH($A39,Puntos_Jornada!$B$1:$M$1,0)),0)</f>
        <v>0</v>
      </c>
      <c r="D39" s="6">
        <f>IFERROR(INDEX(Puntos_Jornada!$B$2:$M$25,MATCH(Plantillas!D39,Puntos_Jornada!$A$2:$A$25,0),MATCH($A39,Puntos_Jornada!$B$1:$M$1,0)),0)</f>
        <v>0</v>
      </c>
      <c r="E39" s="6">
        <f>IFERROR(INDEX(Puntos_Jornada!$B$2:$M$25,MATCH(Plantillas!E39,Puntos_Jornada!$A$2:$A$25,0),MATCH($A39,Puntos_Jornada!$B$1:$M$1,0)),0)</f>
        <v>0</v>
      </c>
      <c r="F39" s="6">
        <f>IFERROR(INDEX(Puntos_Jornada!$B$2:$M$25,MATCH(Plantillas!F39,Puntos_Jornada!$A$2:$A$25,0),MATCH($A39,Puntos_Jornada!$B$1:$M$1,0)),0)</f>
        <v>0</v>
      </c>
      <c r="G39" s="6">
        <f>IFERROR(INDEX(Puntos_Jornada!$B$2:$M$25,MATCH(Plantillas!G39,Puntos_Jornada!$A$2:$A$25,0),MATCH($A39,Puntos_Jornada!$B$1:$M$1,0)),0)</f>
        <v>0</v>
      </c>
      <c r="H39" s="6">
        <f>IFERROR(INDEX(Puntos_Jornada!$B$2:$M$25,MATCH(Plantillas!H39,Puntos_Jornada!$A$2:$A$25,0),MATCH($A39,Puntos_Jornada!$B$1:$M$1,0)),0)</f>
        <v>0</v>
      </c>
      <c r="I39" s="15">
        <f t="shared" si="0"/>
        <v>0</v>
      </c>
    </row>
    <row r="40" spans="1:9" x14ac:dyDescent="0.25">
      <c r="A40" s="6">
        <f>Plantillas!A40</f>
        <v>2</v>
      </c>
      <c r="B40" s="13" t="str">
        <f>Plantillas!B40</f>
        <v>Alumno 15</v>
      </c>
      <c r="C40" s="6">
        <f>IFERROR(INDEX(Puntos_Jornada!$B$2:$M$25,MATCH(Plantillas!C40,Puntos_Jornada!$A$2:$A$25,0),MATCH($A40,Puntos_Jornada!$B$1:$M$1,0)),0)</f>
        <v>0</v>
      </c>
      <c r="D40" s="6">
        <f>IFERROR(INDEX(Puntos_Jornada!$B$2:$M$25,MATCH(Plantillas!D40,Puntos_Jornada!$A$2:$A$25,0),MATCH($A40,Puntos_Jornada!$B$1:$M$1,0)),0)</f>
        <v>0</v>
      </c>
      <c r="E40" s="6">
        <f>IFERROR(INDEX(Puntos_Jornada!$B$2:$M$25,MATCH(Plantillas!E40,Puntos_Jornada!$A$2:$A$25,0),MATCH($A40,Puntos_Jornada!$B$1:$M$1,0)),0)</f>
        <v>0</v>
      </c>
      <c r="F40" s="6">
        <f>IFERROR(INDEX(Puntos_Jornada!$B$2:$M$25,MATCH(Plantillas!F40,Puntos_Jornada!$A$2:$A$25,0),MATCH($A40,Puntos_Jornada!$B$1:$M$1,0)),0)</f>
        <v>0</v>
      </c>
      <c r="G40" s="6">
        <f>IFERROR(INDEX(Puntos_Jornada!$B$2:$M$25,MATCH(Plantillas!G40,Puntos_Jornada!$A$2:$A$25,0),MATCH($A40,Puntos_Jornada!$B$1:$M$1,0)),0)</f>
        <v>0</v>
      </c>
      <c r="H40" s="6">
        <f>IFERROR(INDEX(Puntos_Jornada!$B$2:$M$25,MATCH(Plantillas!H40,Puntos_Jornada!$A$2:$A$25,0),MATCH($A40,Puntos_Jornada!$B$1:$M$1,0)),0)</f>
        <v>0</v>
      </c>
      <c r="I40" s="15">
        <f t="shared" si="0"/>
        <v>0</v>
      </c>
    </row>
    <row r="41" spans="1:9" x14ac:dyDescent="0.25">
      <c r="A41" s="6">
        <f>Plantillas!A41</f>
        <v>2</v>
      </c>
      <c r="B41" s="13" t="str">
        <f>Plantillas!B41</f>
        <v>Alumno 16</v>
      </c>
      <c r="C41" s="6">
        <f>IFERROR(INDEX(Puntos_Jornada!$B$2:$M$25,MATCH(Plantillas!C41,Puntos_Jornada!$A$2:$A$25,0),MATCH($A41,Puntos_Jornada!$B$1:$M$1,0)),0)</f>
        <v>0</v>
      </c>
      <c r="D41" s="6">
        <f>IFERROR(INDEX(Puntos_Jornada!$B$2:$M$25,MATCH(Plantillas!D41,Puntos_Jornada!$A$2:$A$25,0),MATCH($A41,Puntos_Jornada!$B$1:$M$1,0)),0)</f>
        <v>0</v>
      </c>
      <c r="E41" s="6">
        <f>IFERROR(INDEX(Puntos_Jornada!$B$2:$M$25,MATCH(Plantillas!E41,Puntos_Jornada!$A$2:$A$25,0),MATCH($A41,Puntos_Jornada!$B$1:$M$1,0)),0)</f>
        <v>0</v>
      </c>
      <c r="F41" s="6">
        <f>IFERROR(INDEX(Puntos_Jornada!$B$2:$M$25,MATCH(Plantillas!F41,Puntos_Jornada!$A$2:$A$25,0),MATCH($A41,Puntos_Jornada!$B$1:$M$1,0)),0)</f>
        <v>0</v>
      </c>
      <c r="G41" s="6">
        <f>IFERROR(INDEX(Puntos_Jornada!$B$2:$M$25,MATCH(Plantillas!G41,Puntos_Jornada!$A$2:$A$25,0),MATCH($A41,Puntos_Jornada!$B$1:$M$1,0)),0)</f>
        <v>0</v>
      </c>
      <c r="H41" s="6">
        <f>IFERROR(INDEX(Puntos_Jornada!$B$2:$M$25,MATCH(Plantillas!H41,Puntos_Jornada!$A$2:$A$25,0),MATCH($A41,Puntos_Jornada!$B$1:$M$1,0)),0)</f>
        <v>0</v>
      </c>
      <c r="I41" s="15">
        <f t="shared" si="0"/>
        <v>0</v>
      </c>
    </row>
    <row r="42" spans="1:9" x14ac:dyDescent="0.25">
      <c r="A42" s="6">
        <f>Plantillas!A42</f>
        <v>2</v>
      </c>
      <c r="B42" s="13" t="str">
        <f>Plantillas!B42</f>
        <v>Alumno 17</v>
      </c>
      <c r="C42" s="6">
        <f>IFERROR(INDEX(Puntos_Jornada!$B$2:$M$25,MATCH(Plantillas!C42,Puntos_Jornada!$A$2:$A$25,0),MATCH($A42,Puntos_Jornada!$B$1:$M$1,0)),0)</f>
        <v>0</v>
      </c>
      <c r="D42" s="6">
        <f>IFERROR(INDEX(Puntos_Jornada!$B$2:$M$25,MATCH(Plantillas!D42,Puntos_Jornada!$A$2:$A$25,0),MATCH($A42,Puntos_Jornada!$B$1:$M$1,0)),0)</f>
        <v>0</v>
      </c>
      <c r="E42" s="6">
        <f>IFERROR(INDEX(Puntos_Jornada!$B$2:$M$25,MATCH(Plantillas!E42,Puntos_Jornada!$A$2:$A$25,0),MATCH($A42,Puntos_Jornada!$B$1:$M$1,0)),0)</f>
        <v>0</v>
      </c>
      <c r="F42" s="6">
        <f>IFERROR(INDEX(Puntos_Jornada!$B$2:$M$25,MATCH(Plantillas!F42,Puntos_Jornada!$A$2:$A$25,0),MATCH($A42,Puntos_Jornada!$B$1:$M$1,0)),0)</f>
        <v>0</v>
      </c>
      <c r="G42" s="6">
        <f>IFERROR(INDEX(Puntos_Jornada!$B$2:$M$25,MATCH(Plantillas!G42,Puntos_Jornada!$A$2:$A$25,0),MATCH($A42,Puntos_Jornada!$B$1:$M$1,0)),0)</f>
        <v>0</v>
      </c>
      <c r="H42" s="6">
        <f>IFERROR(INDEX(Puntos_Jornada!$B$2:$M$25,MATCH(Plantillas!H42,Puntos_Jornada!$A$2:$A$25,0),MATCH($A42,Puntos_Jornada!$B$1:$M$1,0)),0)</f>
        <v>0</v>
      </c>
      <c r="I42" s="15">
        <f t="shared" si="0"/>
        <v>0</v>
      </c>
    </row>
    <row r="43" spans="1:9" x14ac:dyDescent="0.25">
      <c r="A43" s="6">
        <f>Plantillas!A43</f>
        <v>2</v>
      </c>
      <c r="B43" s="13" t="str">
        <f>Plantillas!B43</f>
        <v>Alumno 18</v>
      </c>
      <c r="C43" s="6">
        <f>IFERROR(INDEX(Puntos_Jornada!$B$2:$M$25,MATCH(Plantillas!C43,Puntos_Jornada!$A$2:$A$25,0),MATCH($A43,Puntos_Jornada!$B$1:$M$1,0)),0)</f>
        <v>0</v>
      </c>
      <c r="D43" s="6">
        <f>IFERROR(INDEX(Puntos_Jornada!$B$2:$M$25,MATCH(Plantillas!D43,Puntos_Jornada!$A$2:$A$25,0),MATCH($A43,Puntos_Jornada!$B$1:$M$1,0)),0)</f>
        <v>0</v>
      </c>
      <c r="E43" s="6">
        <f>IFERROR(INDEX(Puntos_Jornada!$B$2:$M$25,MATCH(Plantillas!E43,Puntos_Jornada!$A$2:$A$25,0),MATCH($A43,Puntos_Jornada!$B$1:$M$1,0)),0)</f>
        <v>0</v>
      </c>
      <c r="F43" s="6">
        <f>IFERROR(INDEX(Puntos_Jornada!$B$2:$M$25,MATCH(Plantillas!F43,Puntos_Jornada!$A$2:$A$25,0),MATCH($A43,Puntos_Jornada!$B$1:$M$1,0)),0)</f>
        <v>0</v>
      </c>
      <c r="G43" s="6">
        <f>IFERROR(INDEX(Puntos_Jornada!$B$2:$M$25,MATCH(Plantillas!G43,Puntos_Jornada!$A$2:$A$25,0),MATCH($A43,Puntos_Jornada!$B$1:$M$1,0)),0)</f>
        <v>0</v>
      </c>
      <c r="H43" s="6">
        <f>IFERROR(INDEX(Puntos_Jornada!$B$2:$M$25,MATCH(Plantillas!H43,Puntos_Jornada!$A$2:$A$25,0),MATCH($A43,Puntos_Jornada!$B$1:$M$1,0)),0)</f>
        <v>0</v>
      </c>
      <c r="I43" s="15">
        <f t="shared" si="0"/>
        <v>0</v>
      </c>
    </row>
    <row r="44" spans="1:9" x14ac:dyDescent="0.25">
      <c r="A44" s="6">
        <f>Plantillas!A44</f>
        <v>2</v>
      </c>
      <c r="B44" s="13" t="str">
        <f>Plantillas!B44</f>
        <v>Alumno 19</v>
      </c>
      <c r="C44" s="6">
        <f>IFERROR(INDEX(Puntos_Jornada!$B$2:$M$25,MATCH(Plantillas!C44,Puntos_Jornada!$A$2:$A$25,0),MATCH($A44,Puntos_Jornada!$B$1:$M$1,0)),0)</f>
        <v>0</v>
      </c>
      <c r="D44" s="6">
        <f>IFERROR(INDEX(Puntos_Jornada!$B$2:$M$25,MATCH(Plantillas!D44,Puntos_Jornada!$A$2:$A$25,0),MATCH($A44,Puntos_Jornada!$B$1:$M$1,0)),0)</f>
        <v>0</v>
      </c>
      <c r="E44" s="6">
        <f>IFERROR(INDEX(Puntos_Jornada!$B$2:$M$25,MATCH(Plantillas!E44,Puntos_Jornada!$A$2:$A$25,0),MATCH($A44,Puntos_Jornada!$B$1:$M$1,0)),0)</f>
        <v>0</v>
      </c>
      <c r="F44" s="6">
        <f>IFERROR(INDEX(Puntos_Jornada!$B$2:$M$25,MATCH(Plantillas!F44,Puntos_Jornada!$A$2:$A$25,0),MATCH($A44,Puntos_Jornada!$B$1:$M$1,0)),0)</f>
        <v>0</v>
      </c>
      <c r="G44" s="6">
        <f>IFERROR(INDEX(Puntos_Jornada!$B$2:$M$25,MATCH(Plantillas!G44,Puntos_Jornada!$A$2:$A$25,0),MATCH($A44,Puntos_Jornada!$B$1:$M$1,0)),0)</f>
        <v>0</v>
      </c>
      <c r="H44" s="6">
        <f>IFERROR(INDEX(Puntos_Jornada!$B$2:$M$25,MATCH(Plantillas!H44,Puntos_Jornada!$A$2:$A$25,0),MATCH($A44,Puntos_Jornada!$B$1:$M$1,0)),0)</f>
        <v>0</v>
      </c>
      <c r="I44" s="15">
        <f t="shared" si="0"/>
        <v>0</v>
      </c>
    </row>
    <row r="45" spans="1:9" x14ac:dyDescent="0.25">
      <c r="A45" s="6">
        <f>Plantillas!A45</f>
        <v>2</v>
      </c>
      <c r="B45" s="13" t="str">
        <f>Plantillas!B45</f>
        <v>Alumno 20</v>
      </c>
      <c r="C45" s="6">
        <f>IFERROR(INDEX(Puntos_Jornada!$B$2:$M$25,MATCH(Plantillas!C45,Puntos_Jornada!$A$2:$A$25,0),MATCH($A45,Puntos_Jornada!$B$1:$M$1,0)),0)</f>
        <v>0</v>
      </c>
      <c r="D45" s="6">
        <f>IFERROR(INDEX(Puntos_Jornada!$B$2:$M$25,MATCH(Plantillas!D45,Puntos_Jornada!$A$2:$A$25,0),MATCH($A45,Puntos_Jornada!$B$1:$M$1,0)),0)</f>
        <v>0</v>
      </c>
      <c r="E45" s="6">
        <f>IFERROR(INDEX(Puntos_Jornada!$B$2:$M$25,MATCH(Plantillas!E45,Puntos_Jornada!$A$2:$A$25,0),MATCH($A45,Puntos_Jornada!$B$1:$M$1,0)),0)</f>
        <v>0</v>
      </c>
      <c r="F45" s="6">
        <f>IFERROR(INDEX(Puntos_Jornada!$B$2:$M$25,MATCH(Plantillas!F45,Puntos_Jornada!$A$2:$A$25,0),MATCH($A45,Puntos_Jornada!$B$1:$M$1,0)),0)</f>
        <v>0</v>
      </c>
      <c r="G45" s="6">
        <f>IFERROR(INDEX(Puntos_Jornada!$B$2:$M$25,MATCH(Plantillas!G45,Puntos_Jornada!$A$2:$A$25,0),MATCH($A45,Puntos_Jornada!$B$1:$M$1,0)),0)</f>
        <v>0</v>
      </c>
      <c r="H45" s="6">
        <f>IFERROR(INDEX(Puntos_Jornada!$B$2:$M$25,MATCH(Plantillas!H45,Puntos_Jornada!$A$2:$A$25,0),MATCH($A45,Puntos_Jornada!$B$1:$M$1,0)),0)</f>
        <v>0</v>
      </c>
      <c r="I45" s="15">
        <f t="shared" si="0"/>
        <v>0</v>
      </c>
    </row>
    <row r="46" spans="1:9" x14ac:dyDescent="0.25">
      <c r="A46" s="6">
        <f>Plantillas!A46</f>
        <v>2</v>
      </c>
      <c r="B46" s="13" t="str">
        <f>Plantillas!B46</f>
        <v>Alumno 21</v>
      </c>
      <c r="C46" s="6">
        <f>IFERROR(INDEX(Puntos_Jornada!$B$2:$M$25,MATCH(Plantillas!C46,Puntos_Jornada!$A$2:$A$25,0),MATCH($A46,Puntos_Jornada!$B$1:$M$1,0)),0)</f>
        <v>0</v>
      </c>
      <c r="D46" s="6">
        <f>IFERROR(INDEX(Puntos_Jornada!$B$2:$M$25,MATCH(Plantillas!D46,Puntos_Jornada!$A$2:$A$25,0),MATCH($A46,Puntos_Jornada!$B$1:$M$1,0)),0)</f>
        <v>0</v>
      </c>
      <c r="E46" s="6">
        <f>IFERROR(INDEX(Puntos_Jornada!$B$2:$M$25,MATCH(Plantillas!E46,Puntos_Jornada!$A$2:$A$25,0),MATCH($A46,Puntos_Jornada!$B$1:$M$1,0)),0)</f>
        <v>0</v>
      </c>
      <c r="F46" s="6">
        <f>IFERROR(INDEX(Puntos_Jornada!$B$2:$M$25,MATCH(Plantillas!F46,Puntos_Jornada!$A$2:$A$25,0),MATCH($A46,Puntos_Jornada!$B$1:$M$1,0)),0)</f>
        <v>0</v>
      </c>
      <c r="G46" s="6">
        <f>IFERROR(INDEX(Puntos_Jornada!$B$2:$M$25,MATCH(Plantillas!G46,Puntos_Jornada!$A$2:$A$25,0),MATCH($A46,Puntos_Jornada!$B$1:$M$1,0)),0)</f>
        <v>0</v>
      </c>
      <c r="H46" s="6">
        <f>IFERROR(INDEX(Puntos_Jornada!$B$2:$M$25,MATCH(Plantillas!H46,Puntos_Jornada!$A$2:$A$25,0),MATCH($A46,Puntos_Jornada!$B$1:$M$1,0)),0)</f>
        <v>0</v>
      </c>
      <c r="I46" s="15">
        <f t="shared" si="0"/>
        <v>0</v>
      </c>
    </row>
    <row r="47" spans="1:9" x14ac:dyDescent="0.25">
      <c r="A47" s="6">
        <f>Plantillas!A47</f>
        <v>2</v>
      </c>
      <c r="B47" s="13" t="str">
        <f>Plantillas!B47</f>
        <v>Alumno 22</v>
      </c>
      <c r="C47" s="6">
        <f>IFERROR(INDEX(Puntos_Jornada!$B$2:$M$25,MATCH(Plantillas!C47,Puntos_Jornada!$A$2:$A$25,0),MATCH($A47,Puntos_Jornada!$B$1:$M$1,0)),0)</f>
        <v>0</v>
      </c>
      <c r="D47" s="6">
        <f>IFERROR(INDEX(Puntos_Jornada!$B$2:$M$25,MATCH(Plantillas!D47,Puntos_Jornada!$A$2:$A$25,0),MATCH($A47,Puntos_Jornada!$B$1:$M$1,0)),0)</f>
        <v>0</v>
      </c>
      <c r="E47" s="6">
        <f>IFERROR(INDEX(Puntos_Jornada!$B$2:$M$25,MATCH(Plantillas!E47,Puntos_Jornada!$A$2:$A$25,0),MATCH($A47,Puntos_Jornada!$B$1:$M$1,0)),0)</f>
        <v>0</v>
      </c>
      <c r="F47" s="6">
        <f>IFERROR(INDEX(Puntos_Jornada!$B$2:$M$25,MATCH(Plantillas!F47,Puntos_Jornada!$A$2:$A$25,0),MATCH($A47,Puntos_Jornada!$B$1:$M$1,0)),0)</f>
        <v>0</v>
      </c>
      <c r="G47" s="6">
        <f>IFERROR(INDEX(Puntos_Jornada!$B$2:$M$25,MATCH(Plantillas!G47,Puntos_Jornada!$A$2:$A$25,0),MATCH($A47,Puntos_Jornada!$B$1:$M$1,0)),0)</f>
        <v>0</v>
      </c>
      <c r="H47" s="6">
        <f>IFERROR(INDEX(Puntos_Jornada!$B$2:$M$25,MATCH(Plantillas!H47,Puntos_Jornada!$A$2:$A$25,0),MATCH($A47,Puntos_Jornada!$B$1:$M$1,0)),0)</f>
        <v>0</v>
      </c>
      <c r="I47" s="15">
        <f t="shared" si="0"/>
        <v>0</v>
      </c>
    </row>
    <row r="48" spans="1:9" x14ac:dyDescent="0.25">
      <c r="A48" s="6">
        <f>Plantillas!A48</f>
        <v>2</v>
      </c>
      <c r="B48" s="13" t="str">
        <f>Plantillas!B48</f>
        <v>Alumno 23</v>
      </c>
      <c r="C48" s="6">
        <f>IFERROR(INDEX(Puntos_Jornada!$B$2:$M$25,MATCH(Plantillas!C48,Puntos_Jornada!$A$2:$A$25,0),MATCH($A48,Puntos_Jornada!$B$1:$M$1,0)),0)</f>
        <v>0</v>
      </c>
      <c r="D48" s="6">
        <f>IFERROR(INDEX(Puntos_Jornada!$B$2:$M$25,MATCH(Plantillas!D48,Puntos_Jornada!$A$2:$A$25,0),MATCH($A48,Puntos_Jornada!$B$1:$M$1,0)),0)</f>
        <v>0</v>
      </c>
      <c r="E48" s="6">
        <f>IFERROR(INDEX(Puntos_Jornada!$B$2:$M$25,MATCH(Plantillas!E48,Puntos_Jornada!$A$2:$A$25,0),MATCH($A48,Puntos_Jornada!$B$1:$M$1,0)),0)</f>
        <v>0</v>
      </c>
      <c r="F48" s="6">
        <f>IFERROR(INDEX(Puntos_Jornada!$B$2:$M$25,MATCH(Plantillas!F48,Puntos_Jornada!$A$2:$A$25,0),MATCH($A48,Puntos_Jornada!$B$1:$M$1,0)),0)</f>
        <v>0</v>
      </c>
      <c r="G48" s="6">
        <f>IFERROR(INDEX(Puntos_Jornada!$B$2:$M$25,MATCH(Plantillas!G48,Puntos_Jornada!$A$2:$A$25,0),MATCH($A48,Puntos_Jornada!$B$1:$M$1,0)),0)</f>
        <v>0</v>
      </c>
      <c r="H48" s="6">
        <f>IFERROR(INDEX(Puntos_Jornada!$B$2:$M$25,MATCH(Plantillas!H48,Puntos_Jornada!$A$2:$A$25,0),MATCH($A48,Puntos_Jornada!$B$1:$M$1,0)),0)</f>
        <v>0</v>
      </c>
      <c r="I48" s="15">
        <f t="shared" si="0"/>
        <v>0</v>
      </c>
    </row>
    <row r="49" spans="1:9" x14ac:dyDescent="0.25">
      <c r="A49" s="6">
        <f>Plantillas!A49</f>
        <v>2</v>
      </c>
      <c r="B49" s="13" t="str">
        <f>Plantillas!B49</f>
        <v>Alumno 24</v>
      </c>
      <c r="C49" s="6">
        <f>IFERROR(INDEX(Puntos_Jornada!$B$2:$M$25,MATCH(Plantillas!C49,Puntos_Jornada!$A$2:$A$25,0),MATCH($A49,Puntos_Jornada!$B$1:$M$1,0)),0)</f>
        <v>0</v>
      </c>
      <c r="D49" s="6">
        <f>IFERROR(INDEX(Puntos_Jornada!$B$2:$M$25,MATCH(Plantillas!D49,Puntos_Jornada!$A$2:$A$25,0),MATCH($A49,Puntos_Jornada!$B$1:$M$1,0)),0)</f>
        <v>0</v>
      </c>
      <c r="E49" s="6">
        <f>IFERROR(INDEX(Puntos_Jornada!$B$2:$M$25,MATCH(Plantillas!E49,Puntos_Jornada!$A$2:$A$25,0),MATCH($A49,Puntos_Jornada!$B$1:$M$1,0)),0)</f>
        <v>0</v>
      </c>
      <c r="F49" s="6">
        <f>IFERROR(INDEX(Puntos_Jornada!$B$2:$M$25,MATCH(Plantillas!F49,Puntos_Jornada!$A$2:$A$25,0),MATCH($A49,Puntos_Jornada!$B$1:$M$1,0)),0)</f>
        <v>0</v>
      </c>
      <c r="G49" s="6">
        <f>IFERROR(INDEX(Puntos_Jornada!$B$2:$M$25,MATCH(Plantillas!G49,Puntos_Jornada!$A$2:$A$25,0),MATCH($A49,Puntos_Jornada!$B$1:$M$1,0)),0)</f>
        <v>0</v>
      </c>
      <c r="H49" s="6">
        <f>IFERROR(INDEX(Puntos_Jornada!$B$2:$M$25,MATCH(Plantillas!H49,Puntos_Jornada!$A$2:$A$25,0),MATCH($A49,Puntos_Jornada!$B$1:$M$1,0)),0)</f>
        <v>0</v>
      </c>
      <c r="I49" s="15">
        <f t="shared" si="0"/>
        <v>0</v>
      </c>
    </row>
    <row r="50" spans="1:9" x14ac:dyDescent="0.25">
      <c r="A50" s="6">
        <f>Plantillas!A50</f>
        <v>3</v>
      </c>
      <c r="B50" s="13" t="str">
        <f>Plantillas!B50</f>
        <v>Alumno 1</v>
      </c>
      <c r="C50" s="6">
        <f>IFERROR(INDEX(Puntos_Jornada!$B$2:$M$25,MATCH(Plantillas!C50,Puntos_Jornada!$A$2:$A$25,0),MATCH($A50,Puntos_Jornada!$B$1:$M$1,0)),0)</f>
        <v>0</v>
      </c>
      <c r="D50" s="6">
        <f>IFERROR(INDEX(Puntos_Jornada!$B$2:$M$25,MATCH(Plantillas!D50,Puntos_Jornada!$A$2:$A$25,0),MATCH($A50,Puntos_Jornada!$B$1:$M$1,0)),0)</f>
        <v>0</v>
      </c>
      <c r="E50" s="6">
        <f>IFERROR(INDEX(Puntos_Jornada!$B$2:$M$25,MATCH(Plantillas!E50,Puntos_Jornada!$A$2:$A$25,0),MATCH($A50,Puntos_Jornada!$B$1:$M$1,0)),0)</f>
        <v>0</v>
      </c>
      <c r="F50" s="6">
        <f>IFERROR(INDEX(Puntos_Jornada!$B$2:$M$25,MATCH(Plantillas!F50,Puntos_Jornada!$A$2:$A$25,0),MATCH($A50,Puntos_Jornada!$B$1:$M$1,0)),0)</f>
        <v>0</v>
      </c>
      <c r="G50" s="6">
        <f>IFERROR(INDEX(Puntos_Jornada!$B$2:$M$25,MATCH(Plantillas!G50,Puntos_Jornada!$A$2:$A$25,0),MATCH($A50,Puntos_Jornada!$B$1:$M$1,0)),0)</f>
        <v>0</v>
      </c>
      <c r="H50" s="6">
        <f>IFERROR(INDEX(Puntos_Jornada!$B$2:$M$25,MATCH(Plantillas!H50,Puntos_Jornada!$A$2:$A$25,0),MATCH($A50,Puntos_Jornada!$B$1:$M$1,0)),0)</f>
        <v>0</v>
      </c>
      <c r="I50" s="15">
        <f t="shared" si="0"/>
        <v>0</v>
      </c>
    </row>
    <row r="51" spans="1:9" x14ac:dyDescent="0.25">
      <c r="A51" s="6">
        <f>Plantillas!A51</f>
        <v>3</v>
      </c>
      <c r="B51" s="13" t="str">
        <f>Plantillas!B51</f>
        <v>Alumno 2</v>
      </c>
      <c r="C51" s="6">
        <f>IFERROR(INDEX(Puntos_Jornada!$B$2:$M$25,MATCH(Plantillas!C51,Puntos_Jornada!$A$2:$A$25,0),MATCH($A51,Puntos_Jornada!$B$1:$M$1,0)),0)</f>
        <v>0</v>
      </c>
      <c r="D51" s="6">
        <f>IFERROR(INDEX(Puntos_Jornada!$B$2:$M$25,MATCH(Plantillas!D51,Puntos_Jornada!$A$2:$A$25,0),MATCH($A51,Puntos_Jornada!$B$1:$M$1,0)),0)</f>
        <v>0</v>
      </c>
      <c r="E51" s="6">
        <f>IFERROR(INDEX(Puntos_Jornada!$B$2:$M$25,MATCH(Plantillas!E51,Puntos_Jornada!$A$2:$A$25,0),MATCH($A51,Puntos_Jornada!$B$1:$M$1,0)),0)</f>
        <v>0</v>
      </c>
      <c r="F51" s="6">
        <f>IFERROR(INDEX(Puntos_Jornada!$B$2:$M$25,MATCH(Plantillas!F51,Puntos_Jornada!$A$2:$A$25,0),MATCH($A51,Puntos_Jornada!$B$1:$M$1,0)),0)</f>
        <v>0</v>
      </c>
      <c r="G51" s="6">
        <f>IFERROR(INDEX(Puntos_Jornada!$B$2:$M$25,MATCH(Plantillas!G51,Puntos_Jornada!$A$2:$A$25,0),MATCH($A51,Puntos_Jornada!$B$1:$M$1,0)),0)</f>
        <v>0</v>
      </c>
      <c r="H51" s="6">
        <f>IFERROR(INDEX(Puntos_Jornada!$B$2:$M$25,MATCH(Plantillas!H51,Puntos_Jornada!$A$2:$A$25,0),MATCH($A51,Puntos_Jornada!$B$1:$M$1,0)),0)</f>
        <v>0</v>
      </c>
      <c r="I51" s="15">
        <f t="shared" si="0"/>
        <v>0</v>
      </c>
    </row>
    <row r="52" spans="1:9" x14ac:dyDescent="0.25">
      <c r="A52" s="6">
        <f>Plantillas!A52</f>
        <v>3</v>
      </c>
      <c r="B52" s="13" t="str">
        <f>Plantillas!B52</f>
        <v>Alumno 3</v>
      </c>
      <c r="C52" s="6">
        <f>IFERROR(INDEX(Puntos_Jornada!$B$2:$M$25,MATCH(Plantillas!C52,Puntos_Jornada!$A$2:$A$25,0),MATCH($A52,Puntos_Jornada!$B$1:$M$1,0)),0)</f>
        <v>0</v>
      </c>
      <c r="D52" s="6">
        <f>IFERROR(INDEX(Puntos_Jornada!$B$2:$M$25,MATCH(Plantillas!D52,Puntos_Jornada!$A$2:$A$25,0),MATCH($A52,Puntos_Jornada!$B$1:$M$1,0)),0)</f>
        <v>0</v>
      </c>
      <c r="E52" s="6">
        <f>IFERROR(INDEX(Puntos_Jornada!$B$2:$M$25,MATCH(Plantillas!E52,Puntos_Jornada!$A$2:$A$25,0),MATCH($A52,Puntos_Jornada!$B$1:$M$1,0)),0)</f>
        <v>0</v>
      </c>
      <c r="F52" s="6">
        <f>IFERROR(INDEX(Puntos_Jornada!$B$2:$M$25,MATCH(Plantillas!F52,Puntos_Jornada!$A$2:$A$25,0),MATCH($A52,Puntos_Jornada!$B$1:$M$1,0)),0)</f>
        <v>0</v>
      </c>
      <c r="G52" s="6">
        <f>IFERROR(INDEX(Puntos_Jornada!$B$2:$M$25,MATCH(Plantillas!G52,Puntos_Jornada!$A$2:$A$25,0),MATCH($A52,Puntos_Jornada!$B$1:$M$1,0)),0)</f>
        <v>0</v>
      </c>
      <c r="H52" s="6">
        <f>IFERROR(INDEX(Puntos_Jornada!$B$2:$M$25,MATCH(Plantillas!H52,Puntos_Jornada!$A$2:$A$25,0),MATCH($A52,Puntos_Jornada!$B$1:$M$1,0)),0)</f>
        <v>0</v>
      </c>
      <c r="I52" s="15">
        <f t="shared" si="0"/>
        <v>0</v>
      </c>
    </row>
    <row r="53" spans="1:9" x14ac:dyDescent="0.25">
      <c r="A53" s="6">
        <f>Plantillas!A53</f>
        <v>3</v>
      </c>
      <c r="B53" s="13" t="str">
        <f>Plantillas!B53</f>
        <v>Alumno 4</v>
      </c>
      <c r="C53" s="6">
        <f>IFERROR(INDEX(Puntos_Jornada!$B$2:$M$25,MATCH(Plantillas!C53,Puntos_Jornada!$A$2:$A$25,0),MATCH($A53,Puntos_Jornada!$B$1:$M$1,0)),0)</f>
        <v>0</v>
      </c>
      <c r="D53" s="6">
        <f>IFERROR(INDEX(Puntos_Jornada!$B$2:$M$25,MATCH(Plantillas!D53,Puntos_Jornada!$A$2:$A$25,0),MATCH($A53,Puntos_Jornada!$B$1:$M$1,0)),0)</f>
        <v>0</v>
      </c>
      <c r="E53" s="6">
        <f>IFERROR(INDEX(Puntos_Jornada!$B$2:$M$25,MATCH(Plantillas!E53,Puntos_Jornada!$A$2:$A$25,0),MATCH($A53,Puntos_Jornada!$B$1:$M$1,0)),0)</f>
        <v>0</v>
      </c>
      <c r="F53" s="6">
        <f>IFERROR(INDEX(Puntos_Jornada!$B$2:$M$25,MATCH(Plantillas!F53,Puntos_Jornada!$A$2:$A$25,0),MATCH($A53,Puntos_Jornada!$B$1:$M$1,0)),0)</f>
        <v>0</v>
      </c>
      <c r="G53" s="6">
        <f>IFERROR(INDEX(Puntos_Jornada!$B$2:$M$25,MATCH(Plantillas!G53,Puntos_Jornada!$A$2:$A$25,0),MATCH($A53,Puntos_Jornada!$B$1:$M$1,0)),0)</f>
        <v>0</v>
      </c>
      <c r="H53" s="6">
        <f>IFERROR(INDEX(Puntos_Jornada!$B$2:$M$25,MATCH(Plantillas!H53,Puntos_Jornada!$A$2:$A$25,0),MATCH($A53,Puntos_Jornada!$B$1:$M$1,0)),0)</f>
        <v>0</v>
      </c>
      <c r="I53" s="15">
        <f t="shared" si="0"/>
        <v>0</v>
      </c>
    </row>
    <row r="54" spans="1:9" x14ac:dyDescent="0.25">
      <c r="A54" s="6">
        <f>Plantillas!A54</f>
        <v>3</v>
      </c>
      <c r="B54" s="13" t="str">
        <f>Plantillas!B54</f>
        <v>Alumno 5</v>
      </c>
      <c r="C54" s="6">
        <f>IFERROR(INDEX(Puntos_Jornada!$B$2:$M$25,MATCH(Plantillas!C54,Puntos_Jornada!$A$2:$A$25,0),MATCH($A54,Puntos_Jornada!$B$1:$M$1,0)),0)</f>
        <v>0</v>
      </c>
      <c r="D54" s="6">
        <f>IFERROR(INDEX(Puntos_Jornada!$B$2:$M$25,MATCH(Plantillas!D54,Puntos_Jornada!$A$2:$A$25,0),MATCH($A54,Puntos_Jornada!$B$1:$M$1,0)),0)</f>
        <v>0</v>
      </c>
      <c r="E54" s="6">
        <f>IFERROR(INDEX(Puntos_Jornada!$B$2:$M$25,MATCH(Plantillas!E54,Puntos_Jornada!$A$2:$A$25,0),MATCH($A54,Puntos_Jornada!$B$1:$M$1,0)),0)</f>
        <v>0</v>
      </c>
      <c r="F54" s="6">
        <f>IFERROR(INDEX(Puntos_Jornada!$B$2:$M$25,MATCH(Plantillas!F54,Puntos_Jornada!$A$2:$A$25,0),MATCH($A54,Puntos_Jornada!$B$1:$M$1,0)),0)</f>
        <v>0</v>
      </c>
      <c r="G54" s="6">
        <f>IFERROR(INDEX(Puntos_Jornada!$B$2:$M$25,MATCH(Plantillas!G54,Puntos_Jornada!$A$2:$A$25,0),MATCH($A54,Puntos_Jornada!$B$1:$M$1,0)),0)</f>
        <v>0</v>
      </c>
      <c r="H54" s="6">
        <f>IFERROR(INDEX(Puntos_Jornada!$B$2:$M$25,MATCH(Plantillas!H54,Puntos_Jornada!$A$2:$A$25,0),MATCH($A54,Puntos_Jornada!$B$1:$M$1,0)),0)</f>
        <v>0</v>
      </c>
      <c r="I54" s="15">
        <f t="shared" si="0"/>
        <v>0</v>
      </c>
    </row>
    <row r="55" spans="1:9" x14ac:dyDescent="0.25">
      <c r="A55" s="6">
        <f>Plantillas!A55</f>
        <v>3</v>
      </c>
      <c r="B55" s="13" t="str">
        <f>Plantillas!B55</f>
        <v>Alumno 6</v>
      </c>
      <c r="C55" s="6">
        <f>IFERROR(INDEX(Puntos_Jornada!$B$2:$M$25,MATCH(Plantillas!C55,Puntos_Jornada!$A$2:$A$25,0),MATCH($A55,Puntos_Jornada!$B$1:$M$1,0)),0)</f>
        <v>0</v>
      </c>
      <c r="D55" s="6">
        <f>IFERROR(INDEX(Puntos_Jornada!$B$2:$M$25,MATCH(Plantillas!D55,Puntos_Jornada!$A$2:$A$25,0),MATCH($A55,Puntos_Jornada!$B$1:$M$1,0)),0)</f>
        <v>0</v>
      </c>
      <c r="E55" s="6">
        <f>IFERROR(INDEX(Puntos_Jornada!$B$2:$M$25,MATCH(Plantillas!E55,Puntos_Jornada!$A$2:$A$25,0),MATCH($A55,Puntos_Jornada!$B$1:$M$1,0)),0)</f>
        <v>0</v>
      </c>
      <c r="F55" s="6">
        <f>IFERROR(INDEX(Puntos_Jornada!$B$2:$M$25,MATCH(Plantillas!F55,Puntos_Jornada!$A$2:$A$25,0),MATCH($A55,Puntos_Jornada!$B$1:$M$1,0)),0)</f>
        <v>0</v>
      </c>
      <c r="G55" s="6">
        <f>IFERROR(INDEX(Puntos_Jornada!$B$2:$M$25,MATCH(Plantillas!G55,Puntos_Jornada!$A$2:$A$25,0),MATCH($A55,Puntos_Jornada!$B$1:$M$1,0)),0)</f>
        <v>0</v>
      </c>
      <c r="H55" s="6">
        <f>IFERROR(INDEX(Puntos_Jornada!$B$2:$M$25,MATCH(Plantillas!H55,Puntos_Jornada!$A$2:$A$25,0),MATCH($A55,Puntos_Jornada!$B$1:$M$1,0)),0)</f>
        <v>0</v>
      </c>
      <c r="I55" s="15">
        <f t="shared" si="0"/>
        <v>0</v>
      </c>
    </row>
    <row r="56" spans="1:9" x14ac:dyDescent="0.25">
      <c r="A56" s="6">
        <f>Plantillas!A56</f>
        <v>3</v>
      </c>
      <c r="B56" s="13" t="str">
        <f>Plantillas!B56</f>
        <v>Alumno 7</v>
      </c>
      <c r="C56" s="6">
        <f>IFERROR(INDEX(Puntos_Jornada!$B$2:$M$25,MATCH(Plantillas!C56,Puntos_Jornada!$A$2:$A$25,0),MATCH($A56,Puntos_Jornada!$B$1:$M$1,0)),0)</f>
        <v>0</v>
      </c>
      <c r="D56" s="6">
        <f>IFERROR(INDEX(Puntos_Jornada!$B$2:$M$25,MATCH(Plantillas!D56,Puntos_Jornada!$A$2:$A$25,0),MATCH($A56,Puntos_Jornada!$B$1:$M$1,0)),0)</f>
        <v>0</v>
      </c>
      <c r="E56" s="6">
        <f>IFERROR(INDEX(Puntos_Jornada!$B$2:$M$25,MATCH(Plantillas!E56,Puntos_Jornada!$A$2:$A$25,0),MATCH($A56,Puntos_Jornada!$B$1:$M$1,0)),0)</f>
        <v>0</v>
      </c>
      <c r="F56" s="6">
        <f>IFERROR(INDEX(Puntos_Jornada!$B$2:$M$25,MATCH(Plantillas!F56,Puntos_Jornada!$A$2:$A$25,0),MATCH($A56,Puntos_Jornada!$B$1:$M$1,0)),0)</f>
        <v>0</v>
      </c>
      <c r="G56" s="6">
        <f>IFERROR(INDEX(Puntos_Jornada!$B$2:$M$25,MATCH(Plantillas!G56,Puntos_Jornada!$A$2:$A$25,0),MATCH($A56,Puntos_Jornada!$B$1:$M$1,0)),0)</f>
        <v>0</v>
      </c>
      <c r="H56" s="6">
        <f>IFERROR(INDEX(Puntos_Jornada!$B$2:$M$25,MATCH(Plantillas!H56,Puntos_Jornada!$A$2:$A$25,0),MATCH($A56,Puntos_Jornada!$B$1:$M$1,0)),0)</f>
        <v>0</v>
      </c>
      <c r="I56" s="15">
        <f t="shared" si="0"/>
        <v>0</v>
      </c>
    </row>
    <row r="57" spans="1:9" x14ac:dyDescent="0.25">
      <c r="A57" s="6">
        <f>Plantillas!A57</f>
        <v>3</v>
      </c>
      <c r="B57" s="13" t="str">
        <f>Plantillas!B57</f>
        <v>Alumno 8</v>
      </c>
      <c r="C57" s="6">
        <f>IFERROR(INDEX(Puntos_Jornada!$B$2:$M$25,MATCH(Plantillas!C57,Puntos_Jornada!$A$2:$A$25,0),MATCH($A57,Puntos_Jornada!$B$1:$M$1,0)),0)</f>
        <v>0</v>
      </c>
      <c r="D57" s="6">
        <f>IFERROR(INDEX(Puntos_Jornada!$B$2:$M$25,MATCH(Plantillas!D57,Puntos_Jornada!$A$2:$A$25,0),MATCH($A57,Puntos_Jornada!$B$1:$M$1,0)),0)</f>
        <v>0</v>
      </c>
      <c r="E57" s="6">
        <f>IFERROR(INDEX(Puntos_Jornada!$B$2:$M$25,MATCH(Plantillas!E57,Puntos_Jornada!$A$2:$A$25,0),MATCH($A57,Puntos_Jornada!$B$1:$M$1,0)),0)</f>
        <v>0</v>
      </c>
      <c r="F57" s="6">
        <f>IFERROR(INDEX(Puntos_Jornada!$B$2:$M$25,MATCH(Plantillas!F57,Puntos_Jornada!$A$2:$A$25,0),MATCH($A57,Puntos_Jornada!$B$1:$M$1,0)),0)</f>
        <v>0</v>
      </c>
      <c r="G57" s="6">
        <f>IFERROR(INDEX(Puntos_Jornada!$B$2:$M$25,MATCH(Plantillas!G57,Puntos_Jornada!$A$2:$A$25,0),MATCH($A57,Puntos_Jornada!$B$1:$M$1,0)),0)</f>
        <v>0</v>
      </c>
      <c r="H57" s="6">
        <f>IFERROR(INDEX(Puntos_Jornada!$B$2:$M$25,MATCH(Plantillas!H57,Puntos_Jornada!$A$2:$A$25,0),MATCH($A57,Puntos_Jornada!$B$1:$M$1,0)),0)</f>
        <v>0</v>
      </c>
      <c r="I57" s="15">
        <f t="shared" si="0"/>
        <v>0</v>
      </c>
    </row>
    <row r="58" spans="1:9" x14ac:dyDescent="0.25">
      <c r="A58" s="6">
        <f>Plantillas!A58</f>
        <v>3</v>
      </c>
      <c r="B58" s="13" t="str">
        <f>Plantillas!B58</f>
        <v>Alumno 9</v>
      </c>
      <c r="C58" s="6">
        <f>IFERROR(INDEX(Puntos_Jornada!$B$2:$M$25,MATCH(Plantillas!C58,Puntos_Jornada!$A$2:$A$25,0),MATCH($A58,Puntos_Jornada!$B$1:$M$1,0)),0)</f>
        <v>0</v>
      </c>
      <c r="D58" s="6">
        <f>IFERROR(INDEX(Puntos_Jornada!$B$2:$M$25,MATCH(Plantillas!D58,Puntos_Jornada!$A$2:$A$25,0),MATCH($A58,Puntos_Jornada!$B$1:$M$1,0)),0)</f>
        <v>0</v>
      </c>
      <c r="E58" s="6">
        <f>IFERROR(INDEX(Puntos_Jornada!$B$2:$M$25,MATCH(Plantillas!E58,Puntos_Jornada!$A$2:$A$25,0),MATCH($A58,Puntos_Jornada!$B$1:$M$1,0)),0)</f>
        <v>0</v>
      </c>
      <c r="F58" s="6">
        <f>IFERROR(INDEX(Puntos_Jornada!$B$2:$M$25,MATCH(Plantillas!F58,Puntos_Jornada!$A$2:$A$25,0),MATCH($A58,Puntos_Jornada!$B$1:$M$1,0)),0)</f>
        <v>0</v>
      </c>
      <c r="G58" s="6">
        <f>IFERROR(INDEX(Puntos_Jornada!$B$2:$M$25,MATCH(Plantillas!G58,Puntos_Jornada!$A$2:$A$25,0),MATCH($A58,Puntos_Jornada!$B$1:$M$1,0)),0)</f>
        <v>0</v>
      </c>
      <c r="H58" s="6">
        <f>IFERROR(INDEX(Puntos_Jornada!$B$2:$M$25,MATCH(Plantillas!H58,Puntos_Jornada!$A$2:$A$25,0),MATCH($A58,Puntos_Jornada!$B$1:$M$1,0)),0)</f>
        <v>0</v>
      </c>
      <c r="I58" s="15">
        <f t="shared" si="0"/>
        <v>0</v>
      </c>
    </row>
    <row r="59" spans="1:9" x14ac:dyDescent="0.25">
      <c r="A59" s="6">
        <f>Plantillas!A59</f>
        <v>3</v>
      </c>
      <c r="B59" s="13" t="str">
        <f>Plantillas!B59</f>
        <v>Alumno 10</v>
      </c>
      <c r="C59" s="6">
        <f>IFERROR(INDEX(Puntos_Jornada!$B$2:$M$25,MATCH(Plantillas!C59,Puntos_Jornada!$A$2:$A$25,0),MATCH($A59,Puntos_Jornada!$B$1:$M$1,0)),0)</f>
        <v>0</v>
      </c>
      <c r="D59" s="6">
        <f>IFERROR(INDEX(Puntos_Jornada!$B$2:$M$25,MATCH(Plantillas!D59,Puntos_Jornada!$A$2:$A$25,0),MATCH($A59,Puntos_Jornada!$B$1:$M$1,0)),0)</f>
        <v>0</v>
      </c>
      <c r="E59" s="6">
        <f>IFERROR(INDEX(Puntos_Jornada!$B$2:$M$25,MATCH(Plantillas!E59,Puntos_Jornada!$A$2:$A$25,0),MATCH($A59,Puntos_Jornada!$B$1:$M$1,0)),0)</f>
        <v>0</v>
      </c>
      <c r="F59" s="6">
        <f>IFERROR(INDEX(Puntos_Jornada!$B$2:$M$25,MATCH(Plantillas!F59,Puntos_Jornada!$A$2:$A$25,0),MATCH($A59,Puntos_Jornada!$B$1:$M$1,0)),0)</f>
        <v>0</v>
      </c>
      <c r="G59" s="6">
        <f>IFERROR(INDEX(Puntos_Jornada!$B$2:$M$25,MATCH(Plantillas!G59,Puntos_Jornada!$A$2:$A$25,0),MATCH($A59,Puntos_Jornada!$B$1:$M$1,0)),0)</f>
        <v>0</v>
      </c>
      <c r="H59" s="6">
        <f>IFERROR(INDEX(Puntos_Jornada!$B$2:$M$25,MATCH(Plantillas!H59,Puntos_Jornada!$A$2:$A$25,0),MATCH($A59,Puntos_Jornada!$B$1:$M$1,0)),0)</f>
        <v>0</v>
      </c>
      <c r="I59" s="15">
        <f t="shared" si="0"/>
        <v>0</v>
      </c>
    </row>
    <row r="60" spans="1:9" x14ac:dyDescent="0.25">
      <c r="A60" s="6">
        <f>Plantillas!A60</f>
        <v>3</v>
      </c>
      <c r="B60" s="13" t="str">
        <f>Plantillas!B60</f>
        <v>Alumno 11</v>
      </c>
      <c r="C60" s="6">
        <f>IFERROR(INDEX(Puntos_Jornada!$B$2:$M$25,MATCH(Plantillas!C60,Puntos_Jornada!$A$2:$A$25,0),MATCH($A60,Puntos_Jornada!$B$1:$M$1,0)),0)</f>
        <v>0</v>
      </c>
      <c r="D60" s="6">
        <f>IFERROR(INDEX(Puntos_Jornada!$B$2:$M$25,MATCH(Plantillas!D60,Puntos_Jornada!$A$2:$A$25,0),MATCH($A60,Puntos_Jornada!$B$1:$M$1,0)),0)</f>
        <v>0</v>
      </c>
      <c r="E60" s="6">
        <f>IFERROR(INDEX(Puntos_Jornada!$B$2:$M$25,MATCH(Plantillas!E60,Puntos_Jornada!$A$2:$A$25,0),MATCH($A60,Puntos_Jornada!$B$1:$M$1,0)),0)</f>
        <v>0</v>
      </c>
      <c r="F60" s="6">
        <f>IFERROR(INDEX(Puntos_Jornada!$B$2:$M$25,MATCH(Plantillas!F60,Puntos_Jornada!$A$2:$A$25,0),MATCH($A60,Puntos_Jornada!$B$1:$M$1,0)),0)</f>
        <v>0</v>
      </c>
      <c r="G60" s="6">
        <f>IFERROR(INDEX(Puntos_Jornada!$B$2:$M$25,MATCH(Plantillas!G60,Puntos_Jornada!$A$2:$A$25,0),MATCH($A60,Puntos_Jornada!$B$1:$M$1,0)),0)</f>
        <v>0</v>
      </c>
      <c r="H60" s="6">
        <f>IFERROR(INDEX(Puntos_Jornada!$B$2:$M$25,MATCH(Plantillas!H60,Puntos_Jornada!$A$2:$A$25,0),MATCH($A60,Puntos_Jornada!$B$1:$M$1,0)),0)</f>
        <v>0</v>
      </c>
      <c r="I60" s="15">
        <f t="shared" si="0"/>
        <v>0</v>
      </c>
    </row>
    <row r="61" spans="1:9" x14ac:dyDescent="0.25">
      <c r="A61" s="6">
        <f>Plantillas!A61</f>
        <v>3</v>
      </c>
      <c r="B61" s="13" t="str">
        <f>Plantillas!B61</f>
        <v>Alumno 12</v>
      </c>
      <c r="C61" s="6">
        <f>IFERROR(INDEX(Puntos_Jornada!$B$2:$M$25,MATCH(Plantillas!C61,Puntos_Jornada!$A$2:$A$25,0),MATCH($A61,Puntos_Jornada!$B$1:$M$1,0)),0)</f>
        <v>0</v>
      </c>
      <c r="D61" s="6">
        <f>IFERROR(INDEX(Puntos_Jornada!$B$2:$M$25,MATCH(Plantillas!D61,Puntos_Jornada!$A$2:$A$25,0),MATCH($A61,Puntos_Jornada!$B$1:$M$1,0)),0)</f>
        <v>0</v>
      </c>
      <c r="E61" s="6">
        <f>IFERROR(INDEX(Puntos_Jornada!$B$2:$M$25,MATCH(Plantillas!E61,Puntos_Jornada!$A$2:$A$25,0),MATCH($A61,Puntos_Jornada!$B$1:$M$1,0)),0)</f>
        <v>0</v>
      </c>
      <c r="F61" s="6">
        <f>IFERROR(INDEX(Puntos_Jornada!$B$2:$M$25,MATCH(Plantillas!F61,Puntos_Jornada!$A$2:$A$25,0),MATCH($A61,Puntos_Jornada!$B$1:$M$1,0)),0)</f>
        <v>0</v>
      </c>
      <c r="G61" s="6">
        <f>IFERROR(INDEX(Puntos_Jornada!$B$2:$M$25,MATCH(Plantillas!G61,Puntos_Jornada!$A$2:$A$25,0),MATCH($A61,Puntos_Jornada!$B$1:$M$1,0)),0)</f>
        <v>0</v>
      </c>
      <c r="H61" s="6">
        <f>IFERROR(INDEX(Puntos_Jornada!$B$2:$M$25,MATCH(Plantillas!H61,Puntos_Jornada!$A$2:$A$25,0),MATCH($A61,Puntos_Jornada!$B$1:$M$1,0)),0)</f>
        <v>0</v>
      </c>
      <c r="I61" s="15">
        <f t="shared" si="0"/>
        <v>0</v>
      </c>
    </row>
    <row r="62" spans="1:9" x14ac:dyDescent="0.25">
      <c r="A62" s="6">
        <f>Plantillas!A62</f>
        <v>3</v>
      </c>
      <c r="B62" s="13" t="str">
        <f>Plantillas!B62</f>
        <v>Alumno 13</v>
      </c>
      <c r="C62" s="6">
        <f>IFERROR(INDEX(Puntos_Jornada!$B$2:$M$25,MATCH(Plantillas!C62,Puntos_Jornada!$A$2:$A$25,0),MATCH($A62,Puntos_Jornada!$B$1:$M$1,0)),0)</f>
        <v>0</v>
      </c>
      <c r="D62" s="6">
        <f>IFERROR(INDEX(Puntos_Jornada!$B$2:$M$25,MATCH(Plantillas!D62,Puntos_Jornada!$A$2:$A$25,0),MATCH($A62,Puntos_Jornada!$B$1:$M$1,0)),0)</f>
        <v>0</v>
      </c>
      <c r="E62" s="6">
        <f>IFERROR(INDEX(Puntos_Jornada!$B$2:$M$25,MATCH(Plantillas!E62,Puntos_Jornada!$A$2:$A$25,0),MATCH($A62,Puntos_Jornada!$B$1:$M$1,0)),0)</f>
        <v>0</v>
      </c>
      <c r="F62" s="6">
        <f>IFERROR(INDEX(Puntos_Jornada!$B$2:$M$25,MATCH(Plantillas!F62,Puntos_Jornada!$A$2:$A$25,0),MATCH($A62,Puntos_Jornada!$B$1:$M$1,0)),0)</f>
        <v>0</v>
      </c>
      <c r="G62" s="6">
        <f>IFERROR(INDEX(Puntos_Jornada!$B$2:$M$25,MATCH(Plantillas!G62,Puntos_Jornada!$A$2:$A$25,0),MATCH($A62,Puntos_Jornada!$B$1:$M$1,0)),0)</f>
        <v>0</v>
      </c>
      <c r="H62" s="6">
        <f>IFERROR(INDEX(Puntos_Jornada!$B$2:$M$25,MATCH(Plantillas!H62,Puntos_Jornada!$A$2:$A$25,0),MATCH($A62,Puntos_Jornada!$B$1:$M$1,0)),0)</f>
        <v>0</v>
      </c>
      <c r="I62" s="15">
        <f t="shared" si="0"/>
        <v>0</v>
      </c>
    </row>
    <row r="63" spans="1:9" x14ac:dyDescent="0.25">
      <c r="A63" s="6">
        <f>Plantillas!A63</f>
        <v>3</v>
      </c>
      <c r="B63" s="13" t="str">
        <f>Plantillas!B63</f>
        <v>Alumno 14</v>
      </c>
      <c r="C63" s="6">
        <f>IFERROR(INDEX(Puntos_Jornada!$B$2:$M$25,MATCH(Plantillas!C63,Puntos_Jornada!$A$2:$A$25,0),MATCH($A63,Puntos_Jornada!$B$1:$M$1,0)),0)</f>
        <v>0</v>
      </c>
      <c r="D63" s="6">
        <f>IFERROR(INDEX(Puntos_Jornada!$B$2:$M$25,MATCH(Plantillas!D63,Puntos_Jornada!$A$2:$A$25,0),MATCH($A63,Puntos_Jornada!$B$1:$M$1,0)),0)</f>
        <v>0</v>
      </c>
      <c r="E63" s="6">
        <f>IFERROR(INDEX(Puntos_Jornada!$B$2:$M$25,MATCH(Plantillas!E63,Puntos_Jornada!$A$2:$A$25,0),MATCH($A63,Puntos_Jornada!$B$1:$M$1,0)),0)</f>
        <v>0</v>
      </c>
      <c r="F63" s="6">
        <f>IFERROR(INDEX(Puntos_Jornada!$B$2:$M$25,MATCH(Plantillas!F63,Puntos_Jornada!$A$2:$A$25,0),MATCH($A63,Puntos_Jornada!$B$1:$M$1,0)),0)</f>
        <v>0</v>
      </c>
      <c r="G63" s="6">
        <f>IFERROR(INDEX(Puntos_Jornada!$B$2:$M$25,MATCH(Plantillas!G63,Puntos_Jornada!$A$2:$A$25,0),MATCH($A63,Puntos_Jornada!$B$1:$M$1,0)),0)</f>
        <v>0</v>
      </c>
      <c r="H63" s="6">
        <f>IFERROR(INDEX(Puntos_Jornada!$B$2:$M$25,MATCH(Plantillas!H63,Puntos_Jornada!$A$2:$A$25,0),MATCH($A63,Puntos_Jornada!$B$1:$M$1,0)),0)</f>
        <v>0</v>
      </c>
      <c r="I63" s="15">
        <f t="shared" si="0"/>
        <v>0</v>
      </c>
    </row>
    <row r="64" spans="1:9" x14ac:dyDescent="0.25">
      <c r="A64" s="6">
        <f>Plantillas!A64</f>
        <v>3</v>
      </c>
      <c r="B64" s="13" t="str">
        <f>Plantillas!B64</f>
        <v>Alumno 15</v>
      </c>
      <c r="C64" s="6">
        <f>IFERROR(INDEX(Puntos_Jornada!$B$2:$M$25,MATCH(Plantillas!C64,Puntos_Jornada!$A$2:$A$25,0),MATCH($A64,Puntos_Jornada!$B$1:$M$1,0)),0)</f>
        <v>0</v>
      </c>
      <c r="D64" s="6">
        <f>IFERROR(INDEX(Puntos_Jornada!$B$2:$M$25,MATCH(Plantillas!D64,Puntos_Jornada!$A$2:$A$25,0),MATCH($A64,Puntos_Jornada!$B$1:$M$1,0)),0)</f>
        <v>0</v>
      </c>
      <c r="E64" s="6">
        <f>IFERROR(INDEX(Puntos_Jornada!$B$2:$M$25,MATCH(Plantillas!E64,Puntos_Jornada!$A$2:$A$25,0),MATCH($A64,Puntos_Jornada!$B$1:$M$1,0)),0)</f>
        <v>0</v>
      </c>
      <c r="F64" s="6">
        <f>IFERROR(INDEX(Puntos_Jornada!$B$2:$M$25,MATCH(Plantillas!F64,Puntos_Jornada!$A$2:$A$25,0),MATCH($A64,Puntos_Jornada!$B$1:$M$1,0)),0)</f>
        <v>0</v>
      </c>
      <c r="G64" s="6">
        <f>IFERROR(INDEX(Puntos_Jornada!$B$2:$M$25,MATCH(Plantillas!G64,Puntos_Jornada!$A$2:$A$25,0),MATCH($A64,Puntos_Jornada!$B$1:$M$1,0)),0)</f>
        <v>0</v>
      </c>
      <c r="H64" s="6">
        <f>IFERROR(INDEX(Puntos_Jornada!$B$2:$M$25,MATCH(Plantillas!H64,Puntos_Jornada!$A$2:$A$25,0),MATCH($A64,Puntos_Jornada!$B$1:$M$1,0)),0)</f>
        <v>0</v>
      </c>
      <c r="I64" s="15">
        <f t="shared" si="0"/>
        <v>0</v>
      </c>
    </row>
    <row r="65" spans="1:9" x14ac:dyDescent="0.25">
      <c r="A65" s="6">
        <f>Plantillas!A65</f>
        <v>3</v>
      </c>
      <c r="B65" s="13" t="str">
        <f>Plantillas!B65</f>
        <v>Alumno 16</v>
      </c>
      <c r="C65" s="6">
        <f>IFERROR(INDEX(Puntos_Jornada!$B$2:$M$25,MATCH(Plantillas!C65,Puntos_Jornada!$A$2:$A$25,0),MATCH($A65,Puntos_Jornada!$B$1:$M$1,0)),0)</f>
        <v>0</v>
      </c>
      <c r="D65" s="6">
        <f>IFERROR(INDEX(Puntos_Jornada!$B$2:$M$25,MATCH(Plantillas!D65,Puntos_Jornada!$A$2:$A$25,0),MATCH($A65,Puntos_Jornada!$B$1:$M$1,0)),0)</f>
        <v>0</v>
      </c>
      <c r="E65" s="6">
        <f>IFERROR(INDEX(Puntos_Jornada!$B$2:$M$25,MATCH(Plantillas!E65,Puntos_Jornada!$A$2:$A$25,0),MATCH($A65,Puntos_Jornada!$B$1:$M$1,0)),0)</f>
        <v>0</v>
      </c>
      <c r="F65" s="6">
        <f>IFERROR(INDEX(Puntos_Jornada!$B$2:$M$25,MATCH(Plantillas!F65,Puntos_Jornada!$A$2:$A$25,0),MATCH($A65,Puntos_Jornada!$B$1:$M$1,0)),0)</f>
        <v>0</v>
      </c>
      <c r="G65" s="6">
        <f>IFERROR(INDEX(Puntos_Jornada!$B$2:$M$25,MATCH(Plantillas!G65,Puntos_Jornada!$A$2:$A$25,0),MATCH($A65,Puntos_Jornada!$B$1:$M$1,0)),0)</f>
        <v>0</v>
      </c>
      <c r="H65" s="6">
        <f>IFERROR(INDEX(Puntos_Jornada!$B$2:$M$25,MATCH(Plantillas!H65,Puntos_Jornada!$A$2:$A$25,0),MATCH($A65,Puntos_Jornada!$B$1:$M$1,0)),0)</f>
        <v>0</v>
      </c>
      <c r="I65" s="15">
        <f t="shared" si="0"/>
        <v>0</v>
      </c>
    </row>
    <row r="66" spans="1:9" x14ac:dyDescent="0.25">
      <c r="A66" s="6">
        <f>Plantillas!A66</f>
        <v>3</v>
      </c>
      <c r="B66" s="13" t="str">
        <f>Plantillas!B66</f>
        <v>Alumno 17</v>
      </c>
      <c r="C66" s="6">
        <f>IFERROR(INDEX(Puntos_Jornada!$B$2:$M$25,MATCH(Plantillas!C66,Puntos_Jornada!$A$2:$A$25,0),MATCH($A66,Puntos_Jornada!$B$1:$M$1,0)),0)</f>
        <v>0</v>
      </c>
      <c r="D66" s="6">
        <f>IFERROR(INDEX(Puntos_Jornada!$B$2:$M$25,MATCH(Plantillas!D66,Puntos_Jornada!$A$2:$A$25,0),MATCH($A66,Puntos_Jornada!$B$1:$M$1,0)),0)</f>
        <v>0</v>
      </c>
      <c r="E66" s="6">
        <f>IFERROR(INDEX(Puntos_Jornada!$B$2:$M$25,MATCH(Plantillas!E66,Puntos_Jornada!$A$2:$A$25,0),MATCH($A66,Puntos_Jornada!$B$1:$M$1,0)),0)</f>
        <v>0</v>
      </c>
      <c r="F66" s="6">
        <f>IFERROR(INDEX(Puntos_Jornada!$B$2:$M$25,MATCH(Plantillas!F66,Puntos_Jornada!$A$2:$A$25,0),MATCH($A66,Puntos_Jornada!$B$1:$M$1,0)),0)</f>
        <v>0</v>
      </c>
      <c r="G66" s="6">
        <f>IFERROR(INDEX(Puntos_Jornada!$B$2:$M$25,MATCH(Plantillas!G66,Puntos_Jornada!$A$2:$A$25,0),MATCH($A66,Puntos_Jornada!$B$1:$M$1,0)),0)</f>
        <v>0</v>
      </c>
      <c r="H66" s="6">
        <f>IFERROR(INDEX(Puntos_Jornada!$B$2:$M$25,MATCH(Plantillas!H66,Puntos_Jornada!$A$2:$A$25,0),MATCH($A66,Puntos_Jornada!$B$1:$M$1,0)),0)</f>
        <v>0</v>
      </c>
      <c r="I66" s="15">
        <f t="shared" ref="I66:I129" si="1">SUM(C66:G66)+H66</f>
        <v>0</v>
      </c>
    </row>
    <row r="67" spans="1:9" x14ac:dyDescent="0.25">
      <c r="A67" s="6">
        <f>Plantillas!A67</f>
        <v>3</v>
      </c>
      <c r="B67" s="13" t="str">
        <f>Plantillas!B67</f>
        <v>Alumno 18</v>
      </c>
      <c r="C67" s="6">
        <f>IFERROR(INDEX(Puntos_Jornada!$B$2:$M$25,MATCH(Plantillas!C67,Puntos_Jornada!$A$2:$A$25,0),MATCH($A67,Puntos_Jornada!$B$1:$M$1,0)),0)</f>
        <v>0</v>
      </c>
      <c r="D67" s="6">
        <f>IFERROR(INDEX(Puntos_Jornada!$B$2:$M$25,MATCH(Plantillas!D67,Puntos_Jornada!$A$2:$A$25,0),MATCH($A67,Puntos_Jornada!$B$1:$M$1,0)),0)</f>
        <v>0</v>
      </c>
      <c r="E67" s="6">
        <f>IFERROR(INDEX(Puntos_Jornada!$B$2:$M$25,MATCH(Plantillas!E67,Puntos_Jornada!$A$2:$A$25,0),MATCH($A67,Puntos_Jornada!$B$1:$M$1,0)),0)</f>
        <v>0</v>
      </c>
      <c r="F67" s="6">
        <f>IFERROR(INDEX(Puntos_Jornada!$B$2:$M$25,MATCH(Plantillas!F67,Puntos_Jornada!$A$2:$A$25,0),MATCH($A67,Puntos_Jornada!$B$1:$M$1,0)),0)</f>
        <v>0</v>
      </c>
      <c r="G67" s="6">
        <f>IFERROR(INDEX(Puntos_Jornada!$B$2:$M$25,MATCH(Plantillas!G67,Puntos_Jornada!$A$2:$A$25,0),MATCH($A67,Puntos_Jornada!$B$1:$M$1,0)),0)</f>
        <v>0</v>
      </c>
      <c r="H67" s="6">
        <f>IFERROR(INDEX(Puntos_Jornada!$B$2:$M$25,MATCH(Plantillas!H67,Puntos_Jornada!$A$2:$A$25,0),MATCH($A67,Puntos_Jornada!$B$1:$M$1,0)),0)</f>
        <v>0</v>
      </c>
      <c r="I67" s="15">
        <f t="shared" si="1"/>
        <v>0</v>
      </c>
    </row>
    <row r="68" spans="1:9" x14ac:dyDescent="0.25">
      <c r="A68" s="6">
        <f>Plantillas!A68</f>
        <v>3</v>
      </c>
      <c r="B68" s="13" t="str">
        <f>Plantillas!B68</f>
        <v>Alumno 19</v>
      </c>
      <c r="C68" s="6">
        <f>IFERROR(INDEX(Puntos_Jornada!$B$2:$M$25,MATCH(Plantillas!C68,Puntos_Jornada!$A$2:$A$25,0),MATCH($A68,Puntos_Jornada!$B$1:$M$1,0)),0)</f>
        <v>0</v>
      </c>
      <c r="D68" s="6">
        <f>IFERROR(INDEX(Puntos_Jornada!$B$2:$M$25,MATCH(Plantillas!D68,Puntos_Jornada!$A$2:$A$25,0),MATCH($A68,Puntos_Jornada!$B$1:$M$1,0)),0)</f>
        <v>0</v>
      </c>
      <c r="E68" s="6">
        <f>IFERROR(INDEX(Puntos_Jornada!$B$2:$M$25,MATCH(Plantillas!E68,Puntos_Jornada!$A$2:$A$25,0),MATCH($A68,Puntos_Jornada!$B$1:$M$1,0)),0)</f>
        <v>0</v>
      </c>
      <c r="F68" s="6">
        <f>IFERROR(INDEX(Puntos_Jornada!$B$2:$M$25,MATCH(Plantillas!F68,Puntos_Jornada!$A$2:$A$25,0),MATCH($A68,Puntos_Jornada!$B$1:$M$1,0)),0)</f>
        <v>0</v>
      </c>
      <c r="G68" s="6">
        <f>IFERROR(INDEX(Puntos_Jornada!$B$2:$M$25,MATCH(Plantillas!G68,Puntos_Jornada!$A$2:$A$25,0),MATCH($A68,Puntos_Jornada!$B$1:$M$1,0)),0)</f>
        <v>0</v>
      </c>
      <c r="H68" s="6">
        <f>IFERROR(INDEX(Puntos_Jornada!$B$2:$M$25,MATCH(Plantillas!H68,Puntos_Jornada!$A$2:$A$25,0),MATCH($A68,Puntos_Jornada!$B$1:$M$1,0)),0)</f>
        <v>0</v>
      </c>
      <c r="I68" s="15">
        <f t="shared" si="1"/>
        <v>0</v>
      </c>
    </row>
    <row r="69" spans="1:9" x14ac:dyDescent="0.25">
      <c r="A69" s="6">
        <f>Plantillas!A69</f>
        <v>3</v>
      </c>
      <c r="B69" s="13" t="str">
        <f>Plantillas!B69</f>
        <v>Alumno 20</v>
      </c>
      <c r="C69" s="6">
        <f>IFERROR(INDEX(Puntos_Jornada!$B$2:$M$25,MATCH(Plantillas!C69,Puntos_Jornada!$A$2:$A$25,0),MATCH($A69,Puntos_Jornada!$B$1:$M$1,0)),0)</f>
        <v>0</v>
      </c>
      <c r="D69" s="6">
        <f>IFERROR(INDEX(Puntos_Jornada!$B$2:$M$25,MATCH(Plantillas!D69,Puntos_Jornada!$A$2:$A$25,0),MATCH($A69,Puntos_Jornada!$B$1:$M$1,0)),0)</f>
        <v>0</v>
      </c>
      <c r="E69" s="6">
        <f>IFERROR(INDEX(Puntos_Jornada!$B$2:$M$25,MATCH(Plantillas!E69,Puntos_Jornada!$A$2:$A$25,0),MATCH($A69,Puntos_Jornada!$B$1:$M$1,0)),0)</f>
        <v>0</v>
      </c>
      <c r="F69" s="6">
        <f>IFERROR(INDEX(Puntos_Jornada!$B$2:$M$25,MATCH(Plantillas!F69,Puntos_Jornada!$A$2:$A$25,0),MATCH($A69,Puntos_Jornada!$B$1:$M$1,0)),0)</f>
        <v>0</v>
      </c>
      <c r="G69" s="6">
        <f>IFERROR(INDEX(Puntos_Jornada!$B$2:$M$25,MATCH(Plantillas!G69,Puntos_Jornada!$A$2:$A$25,0),MATCH($A69,Puntos_Jornada!$B$1:$M$1,0)),0)</f>
        <v>0</v>
      </c>
      <c r="H69" s="6">
        <f>IFERROR(INDEX(Puntos_Jornada!$B$2:$M$25,MATCH(Plantillas!H69,Puntos_Jornada!$A$2:$A$25,0),MATCH($A69,Puntos_Jornada!$B$1:$M$1,0)),0)</f>
        <v>0</v>
      </c>
      <c r="I69" s="15">
        <f t="shared" si="1"/>
        <v>0</v>
      </c>
    </row>
    <row r="70" spans="1:9" x14ac:dyDescent="0.25">
      <c r="A70" s="6">
        <f>Plantillas!A70</f>
        <v>3</v>
      </c>
      <c r="B70" s="13" t="str">
        <f>Plantillas!B70</f>
        <v>Alumno 21</v>
      </c>
      <c r="C70" s="6">
        <f>IFERROR(INDEX(Puntos_Jornada!$B$2:$M$25,MATCH(Plantillas!C70,Puntos_Jornada!$A$2:$A$25,0),MATCH($A70,Puntos_Jornada!$B$1:$M$1,0)),0)</f>
        <v>0</v>
      </c>
      <c r="D70" s="6">
        <f>IFERROR(INDEX(Puntos_Jornada!$B$2:$M$25,MATCH(Plantillas!D70,Puntos_Jornada!$A$2:$A$25,0),MATCH($A70,Puntos_Jornada!$B$1:$M$1,0)),0)</f>
        <v>0</v>
      </c>
      <c r="E70" s="6">
        <f>IFERROR(INDEX(Puntos_Jornada!$B$2:$M$25,MATCH(Plantillas!E70,Puntos_Jornada!$A$2:$A$25,0),MATCH($A70,Puntos_Jornada!$B$1:$M$1,0)),0)</f>
        <v>0</v>
      </c>
      <c r="F70" s="6">
        <f>IFERROR(INDEX(Puntos_Jornada!$B$2:$M$25,MATCH(Plantillas!F70,Puntos_Jornada!$A$2:$A$25,0),MATCH($A70,Puntos_Jornada!$B$1:$M$1,0)),0)</f>
        <v>0</v>
      </c>
      <c r="G70" s="6">
        <f>IFERROR(INDEX(Puntos_Jornada!$B$2:$M$25,MATCH(Plantillas!G70,Puntos_Jornada!$A$2:$A$25,0),MATCH($A70,Puntos_Jornada!$B$1:$M$1,0)),0)</f>
        <v>0</v>
      </c>
      <c r="H70" s="6">
        <f>IFERROR(INDEX(Puntos_Jornada!$B$2:$M$25,MATCH(Plantillas!H70,Puntos_Jornada!$A$2:$A$25,0),MATCH($A70,Puntos_Jornada!$B$1:$M$1,0)),0)</f>
        <v>0</v>
      </c>
      <c r="I70" s="15">
        <f t="shared" si="1"/>
        <v>0</v>
      </c>
    </row>
    <row r="71" spans="1:9" x14ac:dyDescent="0.25">
      <c r="A71" s="6">
        <f>Plantillas!A71</f>
        <v>3</v>
      </c>
      <c r="B71" s="13" t="str">
        <f>Plantillas!B71</f>
        <v>Alumno 22</v>
      </c>
      <c r="C71" s="6">
        <f>IFERROR(INDEX(Puntos_Jornada!$B$2:$M$25,MATCH(Plantillas!C71,Puntos_Jornada!$A$2:$A$25,0),MATCH($A71,Puntos_Jornada!$B$1:$M$1,0)),0)</f>
        <v>0</v>
      </c>
      <c r="D71" s="6">
        <f>IFERROR(INDEX(Puntos_Jornada!$B$2:$M$25,MATCH(Plantillas!D71,Puntos_Jornada!$A$2:$A$25,0),MATCH($A71,Puntos_Jornada!$B$1:$M$1,0)),0)</f>
        <v>0</v>
      </c>
      <c r="E71" s="6">
        <f>IFERROR(INDEX(Puntos_Jornada!$B$2:$M$25,MATCH(Plantillas!E71,Puntos_Jornada!$A$2:$A$25,0),MATCH($A71,Puntos_Jornada!$B$1:$M$1,0)),0)</f>
        <v>0</v>
      </c>
      <c r="F71" s="6">
        <f>IFERROR(INDEX(Puntos_Jornada!$B$2:$M$25,MATCH(Plantillas!F71,Puntos_Jornada!$A$2:$A$25,0),MATCH($A71,Puntos_Jornada!$B$1:$M$1,0)),0)</f>
        <v>0</v>
      </c>
      <c r="G71" s="6">
        <f>IFERROR(INDEX(Puntos_Jornada!$B$2:$M$25,MATCH(Plantillas!G71,Puntos_Jornada!$A$2:$A$25,0),MATCH($A71,Puntos_Jornada!$B$1:$M$1,0)),0)</f>
        <v>0</v>
      </c>
      <c r="H71" s="6">
        <f>IFERROR(INDEX(Puntos_Jornada!$B$2:$M$25,MATCH(Plantillas!H71,Puntos_Jornada!$A$2:$A$25,0),MATCH($A71,Puntos_Jornada!$B$1:$M$1,0)),0)</f>
        <v>0</v>
      </c>
      <c r="I71" s="15">
        <f t="shared" si="1"/>
        <v>0</v>
      </c>
    </row>
    <row r="72" spans="1:9" x14ac:dyDescent="0.25">
      <c r="A72" s="6">
        <f>Plantillas!A72</f>
        <v>3</v>
      </c>
      <c r="B72" s="13" t="str">
        <f>Plantillas!B72</f>
        <v>Alumno 23</v>
      </c>
      <c r="C72" s="6">
        <f>IFERROR(INDEX(Puntos_Jornada!$B$2:$M$25,MATCH(Plantillas!C72,Puntos_Jornada!$A$2:$A$25,0),MATCH($A72,Puntos_Jornada!$B$1:$M$1,0)),0)</f>
        <v>0</v>
      </c>
      <c r="D72" s="6">
        <f>IFERROR(INDEX(Puntos_Jornada!$B$2:$M$25,MATCH(Plantillas!D72,Puntos_Jornada!$A$2:$A$25,0),MATCH($A72,Puntos_Jornada!$B$1:$M$1,0)),0)</f>
        <v>0</v>
      </c>
      <c r="E72" s="6">
        <f>IFERROR(INDEX(Puntos_Jornada!$B$2:$M$25,MATCH(Plantillas!E72,Puntos_Jornada!$A$2:$A$25,0),MATCH($A72,Puntos_Jornada!$B$1:$M$1,0)),0)</f>
        <v>0</v>
      </c>
      <c r="F72" s="6">
        <f>IFERROR(INDEX(Puntos_Jornada!$B$2:$M$25,MATCH(Plantillas!F72,Puntos_Jornada!$A$2:$A$25,0),MATCH($A72,Puntos_Jornada!$B$1:$M$1,0)),0)</f>
        <v>0</v>
      </c>
      <c r="G72" s="6">
        <f>IFERROR(INDEX(Puntos_Jornada!$B$2:$M$25,MATCH(Plantillas!G72,Puntos_Jornada!$A$2:$A$25,0),MATCH($A72,Puntos_Jornada!$B$1:$M$1,0)),0)</f>
        <v>0</v>
      </c>
      <c r="H72" s="6">
        <f>IFERROR(INDEX(Puntos_Jornada!$B$2:$M$25,MATCH(Plantillas!H72,Puntos_Jornada!$A$2:$A$25,0),MATCH($A72,Puntos_Jornada!$B$1:$M$1,0)),0)</f>
        <v>0</v>
      </c>
      <c r="I72" s="15">
        <f t="shared" si="1"/>
        <v>0</v>
      </c>
    </row>
    <row r="73" spans="1:9" x14ac:dyDescent="0.25">
      <c r="A73" s="6">
        <f>Plantillas!A73</f>
        <v>3</v>
      </c>
      <c r="B73" s="13" t="str">
        <f>Plantillas!B73</f>
        <v>Alumno 24</v>
      </c>
      <c r="C73" s="6">
        <f>IFERROR(INDEX(Puntos_Jornada!$B$2:$M$25,MATCH(Plantillas!C73,Puntos_Jornada!$A$2:$A$25,0),MATCH($A73,Puntos_Jornada!$B$1:$M$1,0)),0)</f>
        <v>0</v>
      </c>
      <c r="D73" s="6">
        <f>IFERROR(INDEX(Puntos_Jornada!$B$2:$M$25,MATCH(Plantillas!D73,Puntos_Jornada!$A$2:$A$25,0),MATCH($A73,Puntos_Jornada!$B$1:$M$1,0)),0)</f>
        <v>0</v>
      </c>
      <c r="E73" s="6">
        <f>IFERROR(INDEX(Puntos_Jornada!$B$2:$M$25,MATCH(Plantillas!E73,Puntos_Jornada!$A$2:$A$25,0),MATCH($A73,Puntos_Jornada!$B$1:$M$1,0)),0)</f>
        <v>0</v>
      </c>
      <c r="F73" s="6">
        <f>IFERROR(INDEX(Puntos_Jornada!$B$2:$M$25,MATCH(Plantillas!F73,Puntos_Jornada!$A$2:$A$25,0),MATCH($A73,Puntos_Jornada!$B$1:$M$1,0)),0)</f>
        <v>0</v>
      </c>
      <c r="G73" s="6">
        <f>IFERROR(INDEX(Puntos_Jornada!$B$2:$M$25,MATCH(Plantillas!G73,Puntos_Jornada!$A$2:$A$25,0),MATCH($A73,Puntos_Jornada!$B$1:$M$1,0)),0)</f>
        <v>0</v>
      </c>
      <c r="H73" s="6">
        <f>IFERROR(INDEX(Puntos_Jornada!$B$2:$M$25,MATCH(Plantillas!H73,Puntos_Jornada!$A$2:$A$25,0),MATCH($A73,Puntos_Jornada!$B$1:$M$1,0)),0)</f>
        <v>0</v>
      </c>
      <c r="I73" s="15">
        <f t="shared" si="1"/>
        <v>0</v>
      </c>
    </row>
    <row r="74" spans="1:9" x14ac:dyDescent="0.25">
      <c r="A74" s="6">
        <f>Plantillas!A74</f>
        <v>4</v>
      </c>
      <c r="B74" s="13" t="str">
        <f>Plantillas!B74</f>
        <v>Alumno 1</v>
      </c>
      <c r="C74" s="6">
        <f>IFERROR(INDEX(Puntos_Jornada!$B$2:$M$25,MATCH(Plantillas!C74,Puntos_Jornada!$A$2:$A$25,0),MATCH($A74,Puntos_Jornada!$B$1:$M$1,0)),0)</f>
        <v>0</v>
      </c>
      <c r="D74" s="6">
        <f>IFERROR(INDEX(Puntos_Jornada!$B$2:$M$25,MATCH(Plantillas!D74,Puntos_Jornada!$A$2:$A$25,0),MATCH($A74,Puntos_Jornada!$B$1:$M$1,0)),0)</f>
        <v>0</v>
      </c>
      <c r="E74" s="6">
        <f>IFERROR(INDEX(Puntos_Jornada!$B$2:$M$25,MATCH(Plantillas!E74,Puntos_Jornada!$A$2:$A$25,0),MATCH($A74,Puntos_Jornada!$B$1:$M$1,0)),0)</f>
        <v>0</v>
      </c>
      <c r="F74" s="6">
        <f>IFERROR(INDEX(Puntos_Jornada!$B$2:$M$25,MATCH(Plantillas!F74,Puntos_Jornada!$A$2:$A$25,0),MATCH($A74,Puntos_Jornada!$B$1:$M$1,0)),0)</f>
        <v>0</v>
      </c>
      <c r="G74" s="6">
        <f>IFERROR(INDEX(Puntos_Jornada!$B$2:$M$25,MATCH(Plantillas!G74,Puntos_Jornada!$A$2:$A$25,0),MATCH($A74,Puntos_Jornada!$B$1:$M$1,0)),0)</f>
        <v>0</v>
      </c>
      <c r="H74" s="6">
        <f>IFERROR(INDEX(Puntos_Jornada!$B$2:$M$25,MATCH(Plantillas!H74,Puntos_Jornada!$A$2:$A$25,0),MATCH($A74,Puntos_Jornada!$B$1:$M$1,0)),0)</f>
        <v>0</v>
      </c>
      <c r="I74" s="15">
        <f t="shared" si="1"/>
        <v>0</v>
      </c>
    </row>
    <row r="75" spans="1:9" x14ac:dyDescent="0.25">
      <c r="A75" s="6">
        <f>Plantillas!A75</f>
        <v>4</v>
      </c>
      <c r="B75" s="13" t="str">
        <f>Plantillas!B75</f>
        <v>Alumno 2</v>
      </c>
      <c r="C75" s="6">
        <f>IFERROR(INDEX(Puntos_Jornada!$B$2:$M$25,MATCH(Plantillas!C75,Puntos_Jornada!$A$2:$A$25,0),MATCH($A75,Puntos_Jornada!$B$1:$M$1,0)),0)</f>
        <v>0</v>
      </c>
      <c r="D75" s="6">
        <f>IFERROR(INDEX(Puntos_Jornada!$B$2:$M$25,MATCH(Plantillas!D75,Puntos_Jornada!$A$2:$A$25,0),MATCH($A75,Puntos_Jornada!$B$1:$M$1,0)),0)</f>
        <v>0</v>
      </c>
      <c r="E75" s="6">
        <f>IFERROR(INDEX(Puntos_Jornada!$B$2:$M$25,MATCH(Plantillas!E75,Puntos_Jornada!$A$2:$A$25,0),MATCH($A75,Puntos_Jornada!$B$1:$M$1,0)),0)</f>
        <v>0</v>
      </c>
      <c r="F75" s="6">
        <f>IFERROR(INDEX(Puntos_Jornada!$B$2:$M$25,MATCH(Plantillas!F75,Puntos_Jornada!$A$2:$A$25,0),MATCH($A75,Puntos_Jornada!$B$1:$M$1,0)),0)</f>
        <v>0</v>
      </c>
      <c r="G75" s="6">
        <f>IFERROR(INDEX(Puntos_Jornada!$B$2:$M$25,MATCH(Plantillas!G75,Puntos_Jornada!$A$2:$A$25,0),MATCH($A75,Puntos_Jornada!$B$1:$M$1,0)),0)</f>
        <v>0</v>
      </c>
      <c r="H75" s="6">
        <f>IFERROR(INDEX(Puntos_Jornada!$B$2:$M$25,MATCH(Plantillas!H75,Puntos_Jornada!$A$2:$A$25,0),MATCH($A75,Puntos_Jornada!$B$1:$M$1,0)),0)</f>
        <v>0</v>
      </c>
      <c r="I75" s="15">
        <f t="shared" si="1"/>
        <v>0</v>
      </c>
    </row>
    <row r="76" spans="1:9" x14ac:dyDescent="0.25">
      <c r="A76" s="6">
        <f>Plantillas!A76</f>
        <v>4</v>
      </c>
      <c r="B76" s="13" t="str">
        <f>Plantillas!B76</f>
        <v>Alumno 3</v>
      </c>
      <c r="C76" s="6">
        <f>IFERROR(INDEX(Puntos_Jornada!$B$2:$M$25,MATCH(Plantillas!C76,Puntos_Jornada!$A$2:$A$25,0),MATCH($A76,Puntos_Jornada!$B$1:$M$1,0)),0)</f>
        <v>0</v>
      </c>
      <c r="D76" s="6">
        <f>IFERROR(INDEX(Puntos_Jornada!$B$2:$M$25,MATCH(Plantillas!D76,Puntos_Jornada!$A$2:$A$25,0),MATCH($A76,Puntos_Jornada!$B$1:$M$1,0)),0)</f>
        <v>0</v>
      </c>
      <c r="E76" s="6">
        <f>IFERROR(INDEX(Puntos_Jornada!$B$2:$M$25,MATCH(Plantillas!E76,Puntos_Jornada!$A$2:$A$25,0),MATCH($A76,Puntos_Jornada!$B$1:$M$1,0)),0)</f>
        <v>0</v>
      </c>
      <c r="F76" s="6">
        <f>IFERROR(INDEX(Puntos_Jornada!$B$2:$M$25,MATCH(Plantillas!F76,Puntos_Jornada!$A$2:$A$25,0),MATCH($A76,Puntos_Jornada!$B$1:$M$1,0)),0)</f>
        <v>0</v>
      </c>
      <c r="G76" s="6">
        <f>IFERROR(INDEX(Puntos_Jornada!$B$2:$M$25,MATCH(Plantillas!G76,Puntos_Jornada!$A$2:$A$25,0),MATCH($A76,Puntos_Jornada!$B$1:$M$1,0)),0)</f>
        <v>0</v>
      </c>
      <c r="H76" s="6">
        <f>IFERROR(INDEX(Puntos_Jornada!$B$2:$M$25,MATCH(Plantillas!H76,Puntos_Jornada!$A$2:$A$25,0),MATCH($A76,Puntos_Jornada!$B$1:$M$1,0)),0)</f>
        <v>0</v>
      </c>
      <c r="I76" s="15">
        <f t="shared" si="1"/>
        <v>0</v>
      </c>
    </row>
    <row r="77" spans="1:9" x14ac:dyDescent="0.25">
      <c r="A77" s="6">
        <f>Plantillas!A77</f>
        <v>4</v>
      </c>
      <c r="B77" s="13" t="str">
        <f>Plantillas!B77</f>
        <v>Alumno 4</v>
      </c>
      <c r="C77" s="6">
        <f>IFERROR(INDEX(Puntos_Jornada!$B$2:$M$25,MATCH(Plantillas!C77,Puntos_Jornada!$A$2:$A$25,0),MATCH($A77,Puntos_Jornada!$B$1:$M$1,0)),0)</f>
        <v>0</v>
      </c>
      <c r="D77" s="6">
        <f>IFERROR(INDEX(Puntos_Jornada!$B$2:$M$25,MATCH(Plantillas!D77,Puntos_Jornada!$A$2:$A$25,0),MATCH($A77,Puntos_Jornada!$B$1:$M$1,0)),0)</f>
        <v>0</v>
      </c>
      <c r="E77" s="6">
        <f>IFERROR(INDEX(Puntos_Jornada!$B$2:$M$25,MATCH(Plantillas!E77,Puntos_Jornada!$A$2:$A$25,0),MATCH($A77,Puntos_Jornada!$B$1:$M$1,0)),0)</f>
        <v>0</v>
      </c>
      <c r="F77" s="6">
        <f>IFERROR(INDEX(Puntos_Jornada!$B$2:$M$25,MATCH(Plantillas!F77,Puntos_Jornada!$A$2:$A$25,0),MATCH($A77,Puntos_Jornada!$B$1:$M$1,0)),0)</f>
        <v>0</v>
      </c>
      <c r="G77" s="6">
        <f>IFERROR(INDEX(Puntos_Jornada!$B$2:$M$25,MATCH(Plantillas!G77,Puntos_Jornada!$A$2:$A$25,0),MATCH($A77,Puntos_Jornada!$B$1:$M$1,0)),0)</f>
        <v>0</v>
      </c>
      <c r="H77" s="6">
        <f>IFERROR(INDEX(Puntos_Jornada!$B$2:$M$25,MATCH(Plantillas!H77,Puntos_Jornada!$A$2:$A$25,0),MATCH($A77,Puntos_Jornada!$B$1:$M$1,0)),0)</f>
        <v>0</v>
      </c>
      <c r="I77" s="15">
        <f t="shared" si="1"/>
        <v>0</v>
      </c>
    </row>
    <row r="78" spans="1:9" x14ac:dyDescent="0.25">
      <c r="A78" s="6">
        <f>Plantillas!A78</f>
        <v>4</v>
      </c>
      <c r="B78" s="13" t="str">
        <f>Plantillas!B78</f>
        <v>Alumno 5</v>
      </c>
      <c r="C78" s="6">
        <f>IFERROR(INDEX(Puntos_Jornada!$B$2:$M$25,MATCH(Plantillas!C78,Puntos_Jornada!$A$2:$A$25,0),MATCH($A78,Puntos_Jornada!$B$1:$M$1,0)),0)</f>
        <v>0</v>
      </c>
      <c r="D78" s="6">
        <f>IFERROR(INDEX(Puntos_Jornada!$B$2:$M$25,MATCH(Plantillas!D78,Puntos_Jornada!$A$2:$A$25,0),MATCH($A78,Puntos_Jornada!$B$1:$M$1,0)),0)</f>
        <v>0</v>
      </c>
      <c r="E78" s="6">
        <f>IFERROR(INDEX(Puntos_Jornada!$B$2:$M$25,MATCH(Plantillas!E78,Puntos_Jornada!$A$2:$A$25,0),MATCH($A78,Puntos_Jornada!$B$1:$M$1,0)),0)</f>
        <v>0</v>
      </c>
      <c r="F78" s="6">
        <f>IFERROR(INDEX(Puntos_Jornada!$B$2:$M$25,MATCH(Plantillas!F78,Puntos_Jornada!$A$2:$A$25,0),MATCH($A78,Puntos_Jornada!$B$1:$M$1,0)),0)</f>
        <v>0</v>
      </c>
      <c r="G78" s="6">
        <f>IFERROR(INDEX(Puntos_Jornada!$B$2:$M$25,MATCH(Plantillas!G78,Puntos_Jornada!$A$2:$A$25,0),MATCH($A78,Puntos_Jornada!$B$1:$M$1,0)),0)</f>
        <v>0</v>
      </c>
      <c r="H78" s="6">
        <f>IFERROR(INDEX(Puntos_Jornada!$B$2:$M$25,MATCH(Plantillas!H78,Puntos_Jornada!$A$2:$A$25,0),MATCH($A78,Puntos_Jornada!$B$1:$M$1,0)),0)</f>
        <v>0</v>
      </c>
      <c r="I78" s="15">
        <f t="shared" si="1"/>
        <v>0</v>
      </c>
    </row>
    <row r="79" spans="1:9" x14ac:dyDescent="0.25">
      <c r="A79" s="6">
        <f>Plantillas!A79</f>
        <v>4</v>
      </c>
      <c r="B79" s="13" t="str">
        <f>Plantillas!B79</f>
        <v>Alumno 6</v>
      </c>
      <c r="C79" s="6">
        <f>IFERROR(INDEX(Puntos_Jornada!$B$2:$M$25,MATCH(Plantillas!C79,Puntos_Jornada!$A$2:$A$25,0),MATCH($A79,Puntos_Jornada!$B$1:$M$1,0)),0)</f>
        <v>0</v>
      </c>
      <c r="D79" s="6">
        <f>IFERROR(INDEX(Puntos_Jornada!$B$2:$M$25,MATCH(Plantillas!D79,Puntos_Jornada!$A$2:$A$25,0),MATCH($A79,Puntos_Jornada!$B$1:$M$1,0)),0)</f>
        <v>0</v>
      </c>
      <c r="E79" s="6">
        <f>IFERROR(INDEX(Puntos_Jornada!$B$2:$M$25,MATCH(Plantillas!E79,Puntos_Jornada!$A$2:$A$25,0),MATCH($A79,Puntos_Jornada!$B$1:$M$1,0)),0)</f>
        <v>0</v>
      </c>
      <c r="F79" s="6">
        <f>IFERROR(INDEX(Puntos_Jornada!$B$2:$M$25,MATCH(Plantillas!F79,Puntos_Jornada!$A$2:$A$25,0),MATCH($A79,Puntos_Jornada!$B$1:$M$1,0)),0)</f>
        <v>0</v>
      </c>
      <c r="G79" s="6">
        <f>IFERROR(INDEX(Puntos_Jornada!$B$2:$M$25,MATCH(Plantillas!G79,Puntos_Jornada!$A$2:$A$25,0),MATCH($A79,Puntos_Jornada!$B$1:$M$1,0)),0)</f>
        <v>0</v>
      </c>
      <c r="H79" s="6">
        <f>IFERROR(INDEX(Puntos_Jornada!$B$2:$M$25,MATCH(Plantillas!H79,Puntos_Jornada!$A$2:$A$25,0),MATCH($A79,Puntos_Jornada!$B$1:$M$1,0)),0)</f>
        <v>0</v>
      </c>
      <c r="I79" s="15">
        <f t="shared" si="1"/>
        <v>0</v>
      </c>
    </row>
    <row r="80" spans="1:9" x14ac:dyDescent="0.25">
      <c r="A80" s="6">
        <f>Plantillas!A80</f>
        <v>4</v>
      </c>
      <c r="B80" s="13" t="str">
        <f>Plantillas!B80</f>
        <v>Alumno 7</v>
      </c>
      <c r="C80" s="6">
        <f>IFERROR(INDEX(Puntos_Jornada!$B$2:$M$25,MATCH(Plantillas!C80,Puntos_Jornada!$A$2:$A$25,0),MATCH($A80,Puntos_Jornada!$B$1:$M$1,0)),0)</f>
        <v>0</v>
      </c>
      <c r="D80" s="6">
        <f>IFERROR(INDEX(Puntos_Jornada!$B$2:$M$25,MATCH(Plantillas!D80,Puntos_Jornada!$A$2:$A$25,0),MATCH($A80,Puntos_Jornada!$B$1:$M$1,0)),0)</f>
        <v>0</v>
      </c>
      <c r="E80" s="6">
        <f>IFERROR(INDEX(Puntos_Jornada!$B$2:$M$25,MATCH(Plantillas!E80,Puntos_Jornada!$A$2:$A$25,0),MATCH($A80,Puntos_Jornada!$B$1:$M$1,0)),0)</f>
        <v>0</v>
      </c>
      <c r="F80" s="6">
        <f>IFERROR(INDEX(Puntos_Jornada!$B$2:$M$25,MATCH(Plantillas!F80,Puntos_Jornada!$A$2:$A$25,0),MATCH($A80,Puntos_Jornada!$B$1:$M$1,0)),0)</f>
        <v>0</v>
      </c>
      <c r="G80" s="6">
        <f>IFERROR(INDEX(Puntos_Jornada!$B$2:$M$25,MATCH(Plantillas!G80,Puntos_Jornada!$A$2:$A$25,0),MATCH($A80,Puntos_Jornada!$B$1:$M$1,0)),0)</f>
        <v>0</v>
      </c>
      <c r="H80" s="6">
        <f>IFERROR(INDEX(Puntos_Jornada!$B$2:$M$25,MATCH(Plantillas!H80,Puntos_Jornada!$A$2:$A$25,0),MATCH($A80,Puntos_Jornada!$B$1:$M$1,0)),0)</f>
        <v>0</v>
      </c>
      <c r="I80" s="15">
        <f t="shared" si="1"/>
        <v>0</v>
      </c>
    </row>
    <row r="81" spans="1:9" x14ac:dyDescent="0.25">
      <c r="A81" s="6">
        <f>Plantillas!A81</f>
        <v>4</v>
      </c>
      <c r="B81" s="13" t="str">
        <f>Plantillas!B81</f>
        <v>Alumno 8</v>
      </c>
      <c r="C81" s="6">
        <f>IFERROR(INDEX(Puntos_Jornada!$B$2:$M$25,MATCH(Plantillas!C81,Puntos_Jornada!$A$2:$A$25,0),MATCH($A81,Puntos_Jornada!$B$1:$M$1,0)),0)</f>
        <v>0</v>
      </c>
      <c r="D81" s="6">
        <f>IFERROR(INDEX(Puntos_Jornada!$B$2:$M$25,MATCH(Plantillas!D81,Puntos_Jornada!$A$2:$A$25,0),MATCH($A81,Puntos_Jornada!$B$1:$M$1,0)),0)</f>
        <v>0</v>
      </c>
      <c r="E81" s="6">
        <f>IFERROR(INDEX(Puntos_Jornada!$B$2:$M$25,MATCH(Plantillas!E81,Puntos_Jornada!$A$2:$A$25,0),MATCH($A81,Puntos_Jornada!$B$1:$M$1,0)),0)</f>
        <v>0</v>
      </c>
      <c r="F81" s="6">
        <f>IFERROR(INDEX(Puntos_Jornada!$B$2:$M$25,MATCH(Plantillas!F81,Puntos_Jornada!$A$2:$A$25,0),MATCH($A81,Puntos_Jornada!$B$1:$M$1,0)),0)</f>
        <v>0</v>
      </c>
      <c r="G81" s="6">
        <f>IFERROR(INDEX(Puntos_Jornada!$B$2:$M$25,MATCH(Plantillas!G81,Puntos_Jornada!$A$2:$A$25,0),MATCH($A81,Puntos_Jornada!$B$1:$M$1,0)),0)</f>
        <v>0</v>
      </c>
      <c r="H81" s="6">
        <f>IFERROR(INDEX(Puntos_Jornada!$B$2:$M$25,MATCH(Plantillas!H81,Puntos_Jornada!$A$2:$A$25,0),MATCH($A81,Puntos_Jornada!$B$1:$M$1,0)),0)</f>
        <v>0</v>
      </c>
      <c r="I81" s="15">
        <f t="shared" si="1"/>
        <v>0</v>
      </c>
    </row>
    <row r="82" spans="1:9" x14ac:dyDescent="0.25">
      <c r="A82" s="6">
        <f>Plantillas!A82</f>
        <v>4</v>
      </c>
      <c r="B82" s="13" t="str">
        <f>Plantillas!B82</f>
        <v>Alumno 9</v>
      </c>
      <c r="C82" s="6">
        <f>IFERROR(INDEX(Puntos_Jornada!$B$2:$M$25,MATCH(Plantillas!C82,Puntos_Jornada!$A$2:$A$25,0),MATCH($A82,Puntos_Jornada!$B$1:$M$1,0)),0)</f>
        <v>0</v>
      </c>
      <c r="D82" s="6">
        <f>IFERROR(INDEX(Puntos_Jornada!$B$2:$M$25,MATCH(Plantillas!D82,Puntos_Jornada!$A$2:$A$25,0),MATCH($A82,Puntos_Jornada!$B$1:$M$1,0)),0)</f>
        <v>0</v>
      </c>
      <c r="E82" s="6">
        <f>IFERROR(INDEX(Puntos_Jornada!$B$2:$M$25,MATCH(Plantillas!E82,Puntos_Jornada!$A$2:$A$25,0),MATCH($A82,Puntos_Jornada!$B$1:$M$1,0)),0)</f>
        <v>0</v>
      </c>
      <c r="F82" s="6">
        <f>IFERROR(INDEX(Puntos_Jornada!$B$2:$M$25,MATCH(Plantillas!F82,Puntos_Jornada!$A$2:$A$25,0),MATCH($A82,Puntos_Jornada!$B$1:$M$1,0)),0)</f>
        <v>0</v>
      </c>
      <c r="G82" s="6">
        <f>IFERROR(INDEX(Puntos_Jornada!$B$2:$M$25,MATCH(Plantillas!G82,Puntos_Jornada!$A$2:$A$25,0),MATCH($A82,Puntos_Jornada!$B$1:$M$1,0)),0)</f>
        <v>0</v>
      </c>
      <c r="H82" s="6">
        <f>IFERROR(INDEX(Puntos_Jornada!$B$2:$M$25,MATCH(Plantillas!H82,Puntos_Jornada!$A$2:$A$25,0),MATCH($A82,Puntos_Jornada!$B$1:$M$1,0)),0)</f>
        <v>0</v>
      </c>
      <c r="I82" s="15">
        <f t="shared" si="1"/>
        <v>0</v>
      </c>
    </row>
    <row r="83" spans="1:9" x14ac:dyDescent="0.25">
      <c r="A83" s="6">
        <f>Plantillas!A83</f>
        <v>4</v>
      </c>
      <c r="B83" s="13" t="str">
        <f>Plantillas!B83</f>
        <v>Alumno 10</v>
      </c>
      <c r="C83" s="6">
        <f>IFERROR(INDEX(Puntos_Jornada!$B$2:$M$25,MATCH(Plantillas!C83,Puntos_Jornada!$A$2:$A$25,0),MATCH($A83,Puntos_Jornada!$B$1:$M$1,0)),0)</f>
        <v>0</v>
      </c>
      <c r="D83" s="6">
        <f>IFERROR(INDEX(Puntos_Jornada!$B$2:$M$25,MATCH(Plantillas!D83,Puntos_Jornada!$A$2:$A$25,0),MATCH($A83,Puntos_Jornada!$B$1:$M$1,0)),0)</f>
        <v>0</v>
      </c>
      <c r="E83" s="6">
        <f>IFERROR(INDEX(Puntos_Jornada!$B$2:$M$25,MATCH(Plantillas!E83,Puntos_Jornada!$A$2:$A$25,0),MATCH($A83,Puntos_Jornada!$B$1:$M$1,0)),0)</f>
        <v>0</v>
      </c>
      <c r="F83" s="6">
        <f>IFERROR(INDEX(Puntos_Jornada!$B$2:$M$25,MATCH(Plantillas!F83,Puntos_Jornada!$A$2:$A$25,0),MATCH($A83,Puntos_Jornada!$B$1:$M$1,0)),0)</f>
        <v>0</v>
      </c>
      <c r="G83" s="6">
        <f>IFERROR(INDEX(Puntos_Jornada!$B$2:$M$25,MATCH(Plantillas!G83,Puntos_Jornada!$A$2:$A$25,0),MATCH($A83,Puntos_Jornada!$B$1:$M$1,0)),0)</f>
        <v>0</v>
      </c>
      <c r="H83" s="6">
        <f>IFERROR(INDEX(Puntos_Jornada!$B$2:$M$25,MATCH(Plantillas!H83,Puntos_Jornada!$A$2:$A$25,0),MATCH($A83,Puntos_Jornada!$B$1:$M$1,0)),0)</f>
        <v>0</v>
      </c>
      <c r="I83" s="15">
        <f t="shared" si="1"/>
        <v>0</v>
      </c>
    </row>
    <row r="84" spans="1:9" x14ac:dyDescent="0.25">
      <c r="A84" s="6">
        <f>Plantillas!A84</f>
        <v>4</v>
      </c>
      <c r="B84" s="13" t="str">
        <f>Plantillas!B84</f>
        <v>Alumno 11</v>
      </c>
      <c r="C84" s="6">
        <f>IFERROR(INDEX(Puntos_Jornada!$B$2:$M$25,MATCH(Plantillas!C84,Puntos_Jornada!$A$2:$A$25,0),MATCH($A84,Puntos_Jornada!$B$1:$M$1,0)),0)</f>
        <v>0</v>
      </c>
      <c r="D84" s="6">
        <f>IFERROR(INDEX(Puntos_Jornada!$B$2:$M$25,MATCH(Plantillas!D84,Puntos_Jornada!$A$2:$A$25,0),MATCH($A84,Puntos_Jornada!$B$1:$M$1,0)),0)</f>
        <v>0</v>
      </c>
      <c r="E84" s="6">
        <f>IFERROR(INDEX(Puntos_Jornada!$B$2:$M$25,MATCH(Plantillas!E84,Puntos_Jornada!$A$2:$A$25,0),MATCH($A84,Puntos_Jornada!$B$1:$M$1,0)),0)</f>
        <v>0</v>
      </c>
      <c r="F84" s="6">
        <f>IFERROR(INDEX(Puntos_Jornada!$B$2:$M$25,MATCH(Plantillas!F84,Puntos_Jornada!$A$2:$A$25,0),MATCH($A84,Puntos_Jornada!$B$1:$M$1,0)),0)</f>
        <v>0</v>
      </c>
      <c r="G84" s="6">
        <f>IFERROR(INDEX(Puntos_Jornada!$B$2:$M$25,MATCH(Plantillas!G84,Puntos_Jornada!$A$2:$A$25,0),MATCH($A84,Puntos_Jornada!$B$1:$M$1,0)),0)</f>
        <v>0</v>
      </c>
      <c r="H84" s="6">
        <f>IFERROR(INDEX(Puntos_Jornada!$B$2:$M$25,MATCH(Plantillas!H84,Puntos_Jornada!$A$2:$A$25,0),MATCH($A84,Puntos_Jornada!$B$1:$M$1,0)),0)</f>
        <v>0</v>
      </c>
      <c r="I84" s="15">
        <f t="shared" si="1"/>
        <v>0</v>
      </c>
    </row>
    <row r="85" spans="1:9" x14ac:dyDescent="0.25">
      <c r="A85" s="6">
        <f>Plantillas!A85</f>
        <v>4</v>
      </c>
      <c r="B85" s="13" t="str">
        <f>Plantillas!B85</f>
        <v>Alumno 12</v>
      </c>
      <c r="C85" s="6">
        <f>IFERROR(INDEX(Puntos_Jornada!$B$2:$M$25,MATCH(Plantillas!C85,Puntos_Jornada!$A$2:$A$25,0),MATCH($A85,Puntos_Jornada!$B$1:$M$1,0)),0)</f>
        <v>0</v>
      </c>
      <c r="D85" s="6">
        <f>IFERROR(INDEX(Puntos_Jornada!$B$2:$M$25,MATCH(Plantillas!D85,Puntos_Jornada!$A$2:$A$25,0),MATCH($A85,Puntos_Jornada!$B$1:$M$1,0)),0)</f>
        <v>0</v>
      </c>
      <c r="E85" s="6">
        <f>IFERROR(INDEX(Puntos_Jornada!$B$2:$M$25,MATCH(Plantillas!E85,Puntos_Jornada!$A$2:$A$25,0),MATCH($A85,Puntos_Jornada!$B$1:$M$1,0)),0)</f>
        <v>0</v>
      </c>
      <c r="F85" s="6">
        <f>IFERROR(INDEX(Puntos_Jornada!$B$2:$M$25,MATCH(Plantillas!F85,Puntos_Jornada!$A$2:$A$25,0),MATCH($A85,Puntos_Jornada!$B$1:$M$1,0)),0)</f>
        <v>0</v>
      </c>
      <c r="G85" s="6">
        <f>IFERROR(INDEX(Puntos_Jornada!$B$2:$M$25,MATCH(Plantillas!G85,Puntos_Jornada!$A$2:$A$25,0),MATCH($A85,Puntos_Jornada!$B$1:$M$1,0)),0)</f>
        <v>0</v>
      </c>
      <c r="H85" s="6">
        <f>IFERROR(INDEX(Puntos_Jornada!$B$2:$M$25,MATCH(Plantillas!H85,Puntos_Jornada!$A$2:$A$25,0),MATCH($A85,Puntos_Jornada!$B$1:$M$1,0)),0)</f>
        <v>0</v>
      </c>
      <c r="I85" s="15">
        <f t="shared" si="1"/>
        <v>0</v>
      </c>
    </row>
    <row r="86" spans="1:9" x14ac:dyDescent="0.25">
      <c r="A86" s="6">
        <f>Plantillas!A86</f>
        <v>4</v>
      </c>
      <c r="B86" s="13" t="str">
        <f>Plantillas!B86</f>
        <v>Alumno 13</v>
      </c>
      <c r="C86" s="6">
        <f>IFERROR(INDEX(Puntos_Jornada!$B$2:$M$25,MATCH(Plantillas!C86,Puntos_Jornada!$A$2:$A$25,0),MATCH($A86,Puntos_Jornada!$B$1:$M$1,0)),0)</f>
        <v>0</v>
      </c>
      <c r="D86" s="6">
        <f>IFERROR(INDEX(Puntos_Jornada!$B$2:$M$25,MATCH(Plantillas!D86,Puntos_Jornada!$A$2:$A$25,0),MATCH($A86,Puntos_Jornada!$B$1:$M$1,0)),0)</f>
        <v>0</v>
      </c>
      <c r="E86" s="6">
        <f>IFERROR(INDEX(Puntos_Jornada!$B$2:$M$25,MATCH(Plantillas!E86,Puntos_Jornada!$A$2:$A$25,0),MATCH($A86,Puntos_Jornada!$B$1:$M$1,0)),0)</f>
        <v>0</v>
      </c>
      <c r="F86" s="6">
        <f>IFERROR(INDEX(Puntos_Jornada!$B$2:$M$25,MATCH(Plantillas!F86,Puntos_Jornada!$A$2:$A$25,0),MATCH($A86,Puntos_Jornada!$B$1:$M$1,0)),0)</f>
        <v>0</v>
      </c>
      <c r="G86" s="6">
        <f>IFERROR(INDEX(Puntos_Jornada!$B$2:$M$25,MATCH(Plantillas!G86,Puntos_Jornada!$A$2:$A$25,0),MATCH($A86,Puntos_Jornada!$B$1:$M$1,0)),0)</f>
        <v>0</v>
      </c>
      <c r="H86" s="6">
        <f>IFERROR(INDEX(Puntos_Jornada!$B$2:$M$25,MATCH(Plantillas!H86,Puntos_Jornada!$A$2:$A$25,0),MATCH($A86,Puntos_Jornada!$B$1:$M$1,0)),0)</f>
        <v>0</v>
      </c>
      <c r="I86" s="15">
        <f t="shared" si="1"/>
        <v>0</v>
      </c>
    </row>
    <row r="87" spans="1:9" x14ac:dyDescent="0.25">
      <c r="A87" s="6">
        <f>Plantillas!A87</f>
        <v>4</v>
      </c>
      <c r="B87" s="13" t="str">
        <f>Plantillas!B87</f>
        <v>Alumno 14</v>
      </c>
      <c r="C87" s="6">
        <f>IFERROR(INDEX(Puntos_Jornada!$B$2:$M$25,MATCH(Plantillas!C87,Puntos_Jornada!$A$2:$A$25,0),MATCH($A87,Puntos_Jornada!$B$1:$M$1,0)),0)</f>
        <v>0</v>
      </c>
      <c r="D87" s="6">
        <f>IFERROR(INDEX(Puntos_Jornada!$B$2:$M$25,MATCH(Plantillas!D87,Puntos_Jornada!$A$2:$A$25,0),MATCH($A87,Puntos_Jornada!$B$1:$M$1,0)),0)</f>
        <v>0</v>
      </c>
      <c r="E87" s="6">
        <f>IFERROR(INDEX(Puntos_Jornada!$B$2:$M$25,MATCH(Plantillas!E87,Puntos_Jornada!$A$2:$A$25,0),MATCH($A87,Puntos_Jornada!$B$1:$M$1,0)),0)</f>
        <v>0</v>
      </c>
      <c r="F87" s="6">
        <f>IFERROR(INDEX(Puntos_Jornada!$B$2:$M$25,MATCH(Plantillas!F87,Puntos_Jornada!$A$2:$A$25,0),MATCH($A87,Puntos_Jornada!$B$1:$M$1,0)),0)</f>
        <v>0</v>
      </c>
      <c r="G87" s="6">
        <f>IFERROR(INDEX(Puntos_Jornada!$B$2:$M$25,MATCH(Plantillas!G87,Puntos_Jornada!$A$2:$A$25,0),MATCH($A87,Puntos_Jornada!$B$1:$M$1,0)),0)</f>
        <v>0</v>
      </c>
      <c r="H87" s="6">
        <f>IFERROR(INDEX(Puntos_Jornada!$B$2:$M$25,MATCH(Plantillas!H87,Puntos_Jornada!$A$2:$A$25,0),MATCH($A87,Puntos_Jornada!$B$1:$M$1,0)),0)</f>
        <v>0</v>
      </c>
      <c r="I87" s="15">
        <f t="shared" si="1"/>
        <v>0</v>
      </c>
    </row>
    <row r="88" spans="1:9" x14ac:dyDescent="0.25">
      <c r="A88" s="6">
        <f>Plantillas!A88</f>
        <v>4</v>
      </c>
      <c r="B88" s="13" t="str">
        <f>Plantillas!B88</f>
        <v>Alumno 15</v>
      </c>
      <c r="C88" s="6">
        <f>IFERROR(INDEX(Puntos_Jornada!$B$2:$M$25,MATCH(Plantillas!C88,Puntos_Jornada!$A$2:$A$25,0),MATCH($A88,Puntos_Jornada!$B$1:$M$1,0)),0)</f>
        <v>0</v>
      </c>
      <c r="D88" s="6">
        <f>IFERROR(INDEX(Puntos_Jornada!$B$2:$M$25,MATCH(Plantillas!D88,Puntos_Jornada!$A$2:$A$25,0),MATCH($A88,Puntos_Jornada!$B$1:$M$1,0)),0)</f>
        <v>0</v>
      </c>
      <c r="E88" s="6">
        <f>IFERROR(INDEX(Puntos_Jornada!$B$2:$M$25,MATCH(Plantillas!E88,Puntos_Jornada!$A$2:$A$25,0),MATCH($A88,Puntos_Jornada!$B$1:$M$1,0)),0)</f>
        <v>0</v>
      </c>
      <c r="F88" s="6">
        <f>IFERROR(INDEX(Puntos_Jornada!$B$2:$M$25,MATCH(Plantillas!F88,Puntos_Jornada!$A$2:$A$25,0),MATCH($A88,Puntos_Jornada!$B$1:$M$1,0)),0)</f>
        <v>0</v>
      </c>
      <c r="G88" s="6">
        <f>IFERROR(INDEX(Puntos_Jornada!$B$2:$M$25,MATCH(Plantillas!G88,Puntos_Jornada!$A$2:$A$25,0),MATCH($A88,Puntos_Jornada!$B$1:$M$1,0)),0)</f>
        <v>0</v>
      </c>
      <c r="H88" s="6">
        <f>IFERROR(INDEX(Puntos_Jornada!$B$2:$M$25,MATCH(Plantillas!H88,Puntos_Jornada!$A$2:$A$25,0),MATCH($A88,Puntos_Jornada!$B$1:$M$1,0)),0)</f>
        <v>0</v>
      </c>
      <c r="I88" s="15">
        <f t="shared" si="1"/>
        <v>0</v>
      </c>
    </row>
    <row r="89" spans="1:9" x14ac:dyDescent="0.25">
      <c r="A89" s="6">
        <f>Plantillas!A89</f>
        <v>4</v>
      </c>
      <c r="B89" s="13" t="str">
        <f>Plantillas!B89</f>
        <v>Alumno 16</v>
      </c>
      <c r="C89" s="6">
        <f>IFERROR(INDEX(Puntos_Jornada!$B$2:$M$25,MATCH(Plantillas!C89,Puntos_Jornada!$A$2:$A$25,0),MATCH($A89,Puntos_Jornada!$B$1:$M$1,0)),0)</f>
        <v>0</v>
      </c>
      <c r="D89" s="6">
        <f>IFERROR(INDEX(Puntos_Jornada!$B$2:$M$25,MATCH(Plantillas!D89,Puntos_Jornada!$A$2:$A$25,0),MATCH($A89,Puntos_Jornada!$B$1:$M$1,0)),0)</f>
        <v>0</v>
      </c>
      <c r="E89" s="6">
        <f>IFERROR(INDEX(Puntos_Jornada!$B$2:$M$25,MATCH(Plantillas!E89,Puntos_Jornada!$A$2:$A$25,0),MATCH($A89,Puntos_Jornada!$B$1:$M$1,0)),0)</f>
        <v>0</v>
      </c>
      <c r="F89" s="6">
        <f>IFERROR(INDEX(Puntos_Jornada!$B$2:$M$25,MATCH(Plantillas!F89,Puntos_Jornada!$A$2:$A$25,0),MATCH($A89,Puntos_Jornada!$B$1:$M$1,0)),0)</f>
        <v>0</v>
      </c>
      <c r="G89" s="6">
        <f>IFERROR(INDEX(Puntos_Jornada!$B$2:$M$25,MATCH(Plantillas!G89,Puntos_Jornada!$A$2:$A$25,0),MATCH($A89,Puntos_Jornada!$B$1:$M$1,0)),0)</f>
        <v>0</v>
      </c>
      <c r="H89" s="6">
        <f>IFERROR(INDEX(Puntos_Jornada!$B$2:$M$25,MATCH(Plantillas!H89,Puntos_Jornada!$A$2:$A$25,0),MATCH($A89,Puntos_Jornada!$B$1:$M$1,0)),0)</f>
        <v>0</v>
      </c>
      <c r="I89" s="15">
        <f t="shared" si="1"/>
        <v>0</v>
      </c>
    </row>
    <row r="90" spans="1:9" x14ac:dyDescent="0.25">
      <c r="A90" s="6">
        <f>Plantillas!A90</f>
        <v>4</v>
      </c>
      <c r="B90" s="13" t="str">
        <f>Plantillas!B90</f>
        <v>Alumno 17</v>
      </c>
      <c r="C90" s="6">
        <f>IFERROR(INDEX(Puntos_Jornada!$B$2:$M$25,MATCH(Plantillas!C90,Puntos_Jornada!$A$2:$A$25,0),MATCH($A90,Puntos_Jornada!$B$1:$M$1,0)),0)</f>
        <v>0</v>
      </c>
      <c r="D90" s="6">
        <f>IFERROR(INDEX(Puntos_Jornada!$B$2:$M$25,MATCH(Plantillas!D90,Puntos_Jornada!$A$2:$A$25,0),MATCH($A90,Puntos_Jornada!$B$1:$M$1,0)),0)</f>
        <v>0</v>
      </c>
      <c r="E90" s="6">
        <f>IFERROR(INDEX(Puntos_Jornada!$B$2:$M$25,MATCH(Plantillas!E90,Puntos_Jornada!$A$2:$A$25,0),MATCH($A90,Puntos_Jornada!$B$1:$M$1,0)),0)</f>
        <v>0</v>
      </c>
      <c r="F90" s="6">
        <f>IFERROR(INDEX(Puntos_Jornada!$B$2:$M$25,MATCH(Plantillas!F90,Puntos_Jornada!$A$2:$A$25,0),MATCH($A90,Puntos_Jornada!$B$1:$M$1,0)),0)</f>
        <v>0</v>
      </c>
      <c r="G90" s="6">
        <f>IFERROR(INDEX(Puntos_Jornada!$B$2:$M$25,MATCH(Plantillas!G90,Puntos_Jornada!$A$2:$A$25,0),MATCH($A90,Puntos_Jornada!$B$1:$M$1,0)),0)</f>
        <v>0</v>
      </c>
      <c r="H90" s="6">
        <f>IFERROR(INDEX(Puntos_Jornada!$B$2:$M$25,MATCH(Plantillas!H90,Puntos_Jornada!$A$2:$A$25,0),MATCH($A90,Puntos_Jornada!$B$1:$M$1,0)),0)</f>
        <v>0</v>
      </c>
      <c r="I90" s="15">
        <f t="shared" si="1"/>
        <v>0</v>
      </c>
    </row>
    <row r="91" spans="1:9" x14ac:dyDescent="0.25">
      <c r="A91" s="6">
        <f>Plantillas!A91</f>
        <v>4</v>
      </c>
      <c r="B91" s="13" t="str">
        <f>Plantillas!B91</f>
        <v>Alumno 18</v>
      </c>
      <c r="C91" s="6">
        <f>IFERROR(INDEX(Puntos_Jornada!$B$2:$M$25,MATCH(Plantillas!C91,Puntos_Jornada!$A$2:$A$25,0),MATCH($A91,Puntos_Jornada!$B$1:$M$1,0)),0)</f>
        <v>0</v>
      </c>
      <c r="D91" s="6">
        <f>IFERROR(INDEX(Puntos_Jornada!$B$2:$M$25,MATCH(Plantillas!D91,Puntos_Jornada!$A$2:$A$25,0),MATCH($A91,Puntos_Jornada!$B$1:$M$1,0)),0)</f>
        <v>0</v>
      </c>
      <c r="E91" s="6">
        <f>IFERROR(INDEX(Puntos_Jornada!$B$2:$M$25,MATCH(Plantillas!E91,Puntos_Jornada!$A$2:$A$25,0),MATCH($A91,Puntos_Jornada!$B$1:$M$1,0)),0)</f>
        <v>0</v>
      </c>
      <c r="F91" s="6">
        <f>IFERROR(INDEX(Puntos_Jornada!$B$2:$M$25,MATCH(Plantillas!F91,Puntos_Jornada!$A$2:$A$25,0),MATCH($A91,Puntos_Jornada!$B$1:$M$1,0)),0)</f>
        <v>0</v>
      </c>
      <c r="G91" s="6">
        <f>IFERROR(INDEX(Puntos_Jornada!$B$2:$M$25,MATCH(Plantillas!G91,Puntos_Jornada!$A$2:$A$25,0),MATCH($A91,Puntos_Jornada!$B$1:$M$1,0)),0)</f>
        <v>0</v>
      </c>
      <c r="H91" s="6">
        <f>IFERROR(INDEX(Puntos_Jornada!$B$2:$M$25,MATCH(Plantillas!H91,Puntos_Jornada!$A$2:$A$25,0),MATCH($A91,Puntos_Jornada!$B$1:$M$1,0)),0)</f>
        <v>0</v>
      </c>
      <c r="I91" s="15">
        <f t="shared" si="1"/>
        <v>0</v>
      </c>
    </row>
    <row r="92" spans="1:9" x14ac:dyDescent="0.25">
      <c r="A92" s="6">
        <f>Plantillas!A92</f>
        <v>4</v>
      </c>
      <c r="B92" s="13" t="str">
        <f>Plantillas!B92</f>
        <v>Alumno 19</v>
      </c>
      <c r="C92" s="6">
        <f>IFERROR(INDEX(Puntos_Jornada!$B$2:$M$25,MATCH(Plantillas!C92,Puntos_Jornada!$A$2:$A$25,0),MATCH($A92,Puntos_Jornada!$B$1:$M$1,0)),0)</f>
        <v>0</v>
      </c>
      <c r="D92" s="6">
        <f>IFERROR(INDEX(Puntos_Jornada!$B$2:$M$25,MATCH(Plantillas!D92,Puntos_Jornada!$A$2:$A$25,0),MATCH($A92,Puntos_Jornada!$B$1:$M$1,0)),0)</f>
        <v>0</v>
      </c>
      <c r="E92" s="6">
        <f>IFERROR(INDEX(Puntos_Jornada!$B$2:$M$25,MATCH(Plantillas!E92,Puntos_Jornada!$A$2:$A$25,0),MATCH($A92,Puntos_Jornada!$B$1:$M$1,0)),0)</f>
        <v>0</v>
      </c>
      <c r="F92" s="6">
        <f>IFERROR(INDEX(Puntos_Jornada!$B$2:$M$25,MATCH(Plantillas!F92,Puntos_Jornada!$A$2:$A$25,0),MATCH($A92,Puntos_Jornada!$B$1:$M$1,0)),0)</f>
        <v>0</v>
      </c>
      <c r="G92" s="6">
        <f>IFERROR(INDEX(Puntos_Jornada!$B$2:$M$25,MATCH(Plantillas!G92,Puntos_Jornada!$A$2:$A$25,0),MATCH($A92,Puntos_Jornada!$B$1:$M$1,0)),0)</f>
        <v>0</v>
      </c>
      <c r="H92" s="6">
        <f>IFERROR(INDEX(Puntos_Jornada!$B$2:$M$25,MATCH(Plantillas!H92,Puntos_Jornada!$A$2:$A$25,0),MATCH($A92,Puntos_Jornada!$B$1:$M$1,0)),0)</f>
        <v>0</v>
      </c>
      <c r="I92" s="15">
        <f t="shared" si="1"/>
        <v>0</v>
      </c>
    </row>
    <row r="93" spans="1:9" x14ac:dyDescent="0.25">
      <c r="A93" s="6">
        <f>Plantillas!A93</f>
        <v>4</v>
      </c>
      <c r="B93" s="13" t="str">
        <f>Plantillas!B93</f>
        <v>Alumno 20</v>
      </c>
      <c r="C93" s="6">
        <f>IFERROR(INDEX(Puntos_Jornada!$B$2:$M$25,MATCH(Plantillas!C93,Puntos_Jornada!$A$2:$A$25,0),MATCH($A93,Puntos_Jornada!$B$1:$M$1,0)),0)</f>
        <v>0</v>
      </c>
      <c r="D93" s="6">
        <f>IFERROR(INDEX(Puntos_Jornada!$B$2:$M$25,MATCH(Plantillas!D93,Puntos_Jornada!$A$2:$A$25,0),MATCH($A93,Puntos_Jornada!$B$1:$M$1,0)),0)</f>
        <v>0</v>
      </c>
      <c r="E93" s="6">
        <f>IFERROR(INDEX(Puntos_Jornada!$B$2:$M$25,MATCH(Plantillas!E93,Puntos_Jornada!$A$2:$A$25,0),MATCH($A93,Puntos_Jornada!$B$1:$M$1,0)),0)</f>
        <v>0</v>
      </c>
      <c r="F93" s="6">
        <f>IFERROR(INDEX(Puntos_Jornada!$B$2:$M$25,MATCH(Plantillas!F93,Puntos_Jornada!$A$2:$A$25,0),MATCH($A93,Puntos_Jornada!$B$1:$M$1,0)),0)</f>
        <v>0</v>
      </c>
      <c r="G93" s="6">
        <f>IFERROR(INDEX(Puntos_Jornada!$B$2:$M$25,MATCH(Plantillas!G93,Puntos_Jornada!$A$2:$A$25,0),MATCH($A93,Puntos_Jornada!$B$1:$M$1,0)),0)</f>
        <v>0</v>
      </c>
      <c r="H93" s="6">
        <f>IFERROR(INDEX(Puntos_Jornada!$B$2:$M$25,MATCH(Plantillas!H93,Puntos_Jornada!$A$2:$A$25,0),MATCH($A93,Puntos_Jornada!$B$1:$M$1,0)),0)</f>
        <v>0</v>
      </c>
      <c r="I93" s="15">
        <f t="shared" si="1"/>
        <v>0</v>
      </c>
    </row>
    <row r="94" spans="1:9" x14ac:dyDescent="0.25">
      <c r="A94" s="6">
        <f>Plantillas!A94</f>
        <v>4</v>
      </c>
      <c r="B94" s="13" t="str">
        <f>Plantillas!B94</f>
        <v>Alumno 21</v>
      </c>
      <c r="C94" s="6">
        <f>IFERROR(INDEX(Puntos_Jornada!$B$2:$M$25,MATCH(Plantillas!C94,Puntos_Jornada!$A$2:$A$25,0),MATCH($A94,Puntos_Jornada!$B$1:$M$1,0)),0)</f>
        <v>0</v>
      </c>
      <c r="D94" s="6">
        <f>IFERROR(INDEX(Puntos_Jornada!$B$2:$M$25,MATCH(Plantillas!D94,Puntos_Jornada!$A$2:$A$25,0),MATCH($A94,Puntos_Jornada!$B$1:$M$1,0)),0)</f>
        <v>0</v>
      </c>
      <c r="E94" s="6">
        <f>IFERROR(INDEX(Puntos_Jornada!$B$2:$M$25,MATCH(Plantillas!E94,Puntos_Jornada!$A$2:$A$25,0),MATCH($A94,Puntos_Jornada!$B$1:$M$1,0)),0)</f>
        <v>0</v>
      </c>
      <c r="F94" s="6">
        <f>IFERROR(INDEX(Puntos_Jornada!$B$2:$M$25,MATCH(Plantillas!F94,Puntos_Jornada!$A$2:$A$25,0),MATCH($A94,Puntos_Jornada!$B$1:$M$1,0)),0)</f>
        <v>0</v>
      </c>
      <c r="G94" s="6">
        <f>IFERROR(INDEX(Puntos_Jornada!$B$2:$M$25,MATCH(Plantillas!G94,Puntos_Jornada!$A$2:$A$25,0),MATCH($A94,Puntos_Jornada!$B$1:$M$1,0)),0)</f>
        <v>0</v>
      </c>
      <c r="H94" s="6">
        <f>IFERROR(INDEX(Puntos_Jornada!$B$2:$M$25,MATCH(Plantillas!H94,Puntos_Jornada!$A$2:$A$25,0),MATCH($A94,Puntos_Jornada!$B$1:$M$1,0)),0)</f>
        <v>0</v>
      </c>
      <c r="I94" s="15">
        <f t="shared" si="1"/>
        <v>0</v>
      </c>
    </row>
    <row r="95" spans="1:9" x14ac:dyDescent="0.25">
      <c r="A95" s="6">
        <f>Plantillas!A95</f>
        <v>4</v>
      </c>
      <c r="B95" s="13" t="str">
        <f>Plantillas!B95</f>
        <v>Alumno 22</v>
      </c>
      <c r="C95" s="6">
        <f>IFERROR(INDEX(Puntos_Jornada!$B$2:$M$25,MATCH(Plantillas!C95,Puntos_Jornada!$A$2:$A$25,0),MATCH($A95,Puntos_Jornada!$B$1:$M$1,0)),0)</f>
        <v>0</v>
      </c>
      <c r="D95" s="6">
        <f>IFERROR(INDEX(Puntos_Jornada!$B$2:$M$25,MATCH(Plantillas!D95,Puntos_Jornada!$A$2:$A$25,0),MATCH($A95,Puntos_Jornada!$B$1:$M$1,0)),0)</f>
        <v>0</v>
      </c>
      <c r="E95" s="6">
        <f>IFERROR(INDEX(Puntos_Jornada!$B$2:$M$25,MATCH(Plantillas!E95,Puntos_Jornada!$A$2:$A$25,0),MATCH($A95,Puntos_Jornada!$B$1:$M$1,0)),0)</f>
        <v>0</v>
      </c>
      <c r="F95" s="6">
        <f>IFERROR(INDEX(Puntos_Jornada!$B$2:$M$25,MATCH(Plantillas!F95,Puntos_Jornada!$A$2:$A$25,0),MATCH($A95,Puntos_Jornada!$B$1:$M$1,0)),0)</f>
        <v>0</v>
      </c>
      <c r="G95" s="6">
        <f>IFERROR(INDEX(Puntos_Jornada!$B$2:$M$25,MATCH(Plantillas!G95,Puntos_Jornada!$A$2:$A$25,0),MATCH($A95,Puntos_Jornada!$B$1:$M$1,0)),0)</f>
        <v>0</v>
      </c>
      <c r="H95" s="6">
        <f>IFERROR(INDEX(Puntos_Jornada!$B$2:$M$25,MATCH(Plantillas!H95,Puntos_Jornada!$A$2:$A$25,0),MATCH($A95,Puntos_Jornada!$B$1:$M$1,0)),0)</f>
        <v>0</v>
      </c>
      <c r="I95" s="15">
        <f t="shared" si="1"/>
        <v>0</v>
      </c>
    </row>
    <row r="96" spans="1:9" x14ac:dyDescent="0.25">
      <c r="A96" s="6">
        <f>Plantillas!A96</f>
        <v>4</v>
      </c>
      <c r="B96" s="13" t="str">
        <f>Plantillas!B96</f>
        <v>Alumno 23</v>
      </c>
      <c r="C96" s="6">
        <f>IFERROR(INDEX(Puntos_Jornada!$B$2:$M$25,MATCH(Plantillas!C96,Puntos_Jornada!$A$2:$A$25,0),MATCH($A96,Puntos_Jornada!$B$1:$M$1,0)),0)</f>
        <v>0</v>
      </c>
      <c r="D96" s="6">
        <f>IFERROR(INDEX(Puntos_Jornada!$B$2:$M$25,MATCH(Plantillas!D96,Puntos_Jornada!$A$2:$A$25,0),MATCH($A96,Puntos_Jornada!$B$1:$M$1,0)),0)</f>
        <v>0</v>
      </c>
      <c r="E96" s="6">
        <f>IFERROR(INDEX(Puntos_Jornada!$B$2:$M$25,MATCH(Plantillas!E96,Puntos_Jornada!$A$2:$A$25,0),MATCH($A96,Puntos_Jornada!$B$1:$M$1,0)),0)</f>
        <v>0</v>
      </c>
      <c r="F96" s="6">
        <f>IFERROR(INDEX(Puntos_Jornada!$B$2:$M$25,MATCH(Plantillas!F96,Puntos_Jornada!$A$2:$A$25,0),MATCH($A96,Puntos_Jornada!$B$1:$M$1,0)),0)</f>
        <v>0</v>
      </c>
      <c r="G96" s="6">
        <f>IFERROR(INDEX(Puntos_Jornada!$B$2:$M$25,MATCH(Plantillas!G96,Puntos_Jornada!$A$2:$A$25,0),MATCH($A96,Puntos_Jornada!$B$1:$M$1,0)),0)</f>
        <v>0</v>
      </c>
      <c r="H96" s="6">
        <f>IFERROR(INDEX(Puntos_Jornada!$B$2:$M$25,MATCH(Plantillas!H96,Puntos_Jornada!$A$2:$A$25,0),MATCH($A96,Puntos_Jornada!$B$1:$M$1,0)),0)</f>
        <v>0</v>
      </c>
      <c r="I96" s="15">
        <f t="shared" si="1"/>
        <v>0</v>
      </c>
    </row>
    <row r="97" spans="1:9" x14ac:dyDescent="0.25">
      <c r="A97" s="6">
        <f>Plantillas!A97</f>
        <v>4</v>
      </c>
      <c r="B97" s="13" t="str">
        <f>Plantillas!B97</f>
        <v>Alumno 24</v>
      </c>
      <c r="C97" s="6">
        <f>IFERROR(INDEX(Puntos_Jornada!$B$2:$M$25,MATCH(Plantillas!C97,Puntos_Jornada!$A$2:$A$25,0),MATCH($A97,Puntos_Jornada!$B$1:$M$1,0)),0)</f>
        <v>0</v>
      </c>
      <c r="D97" s="6">
        <f>IFERROR(INDEX(Puntos_Jornada!$B$2:$M$25,MATCH(Plantillas!D97,Puntos_Jornada!$A$2:$A$25,0),MATCH($A97,Puntos_Jornada!$B$1:$M$1,0)),0)</f>
        <v>0</v>
      </c>
      <c r="E97" s="6">
        <f>IFERROR(INDEX(Puntos_Jornada!$B$2:$M$25,MATCH(Plantillas!E97,Puntos_Jornada!$A$2:$A$25,0),MATCH($A97,Puntos_Jornada!$B$1:$M$1,0)),0)</f>
        <v>0</v>
      </c>
      <c r="F97" s="6">
        <f>IFERROR(INDEX(Puntos_Jornada!$B$2:$M$25,MATCH(Plantillas!F97,Puntos_Jornada!$A$2:$A$25,0),MATCH($A97,Puntos_Jornada!$B$1:$M$1,0)),0)</f>
        <v>0</v>
      </c>
      <c r="G97" s="6">
        <f>IFERROR(INDEX(Puntos_Jornada!$B$2:$M$25,MATCH(Plantillas!G97,Puntos_Jornada!$A$2:$A$25,0),MATCH($A97,Puntos_Jornada!$B$1:$M$1,0)),0)</f>
        <v>0</v>
      </c>
      <c r="H97" s="6">
        <f>IFERROR(INDEX(Puntos_Jornada!$B$2:$M$25,MATCH(Plantillas!H97,Puntos_Jornada!$A$2:$A$25,0),MATCH($A97,Puntos_Jornada!$B$1:$M$1,0)),0)</f>
        <v>0</v>
      </c>
      <c r="I97" s="15">
        <f t="shared" si="1"/>
        <v>0</v>
      </c>
    </row>
    <row r="98" spans="1:9" x14ac:dyDescent="0.25">
      <c r="A98" s="6">
        <f>Plantillas!A98</f>
        <v>5</v>
      </c>
      <c r="B98" s="13" t="str">
        <f>Plantillas!B98</f>
        <v>Alumno 1</v>
      </c>
      <c r="C98" s="6">
        <f>IFERROR(INDEX(Puntos_Jornada!$B$2:$M$25,MATCH(Plantillas!C98,Puntos_Jornada!$A$2:$A$25,0),MATCH($A98,Puntos_Jornada!$B$1:$M$1,0)),0)</f>
        <v>0</v>
      </c>
      <c r="D98" s="6">
        <f>IFERROR(INDEX(Puntos_Jornada!$B$2:$M$25,MATCH(Plantillas!D98,Puntos_Jornada!$A$2:$A$25,0),MATCH($A98,Puntos_Jornada!$B$1:$M$1,0)),0)</f>
        <v>0</v>
      </c>
      <c r="E98" s="6">
        <f>IFERROR(INDEX(Puntos_Jornada!$B$2:$M$25,MATCH(Plantillas!E98,Puntos_Jornada!$A$2:$A$25,0),MATCH($A98,Puntos_Jornada!$B$1:$M$1,0)),0)</f>
        <v>0</v>
      </c>
      <c r="F98" s="6">
        <f>IFERROR(INDEX(Puntos_Jornada!$B$2:$M$25,MATCH(Plantillas!F98,Puntos_Jornada!$A$2:$A$25,0),MATCH($A98,Puntos_Jornada!$B$1:$M$1,0)),0)</f>
        <v>0</v>
      </c>
      <c r="G98" s="6">
        <f>IFERROR(INDEX(Puntos_Jornada!$B$2:$M$25,MATCH(Plantillas!G98,Puntos_Jornada!$A$2:$A$25,0),MATCH($A98,Puntos_Jornada!$B$1:$M$1,0)),0)</f>
        <v>0</v>
      </c>
      <c r="H98" s="6">
        <f>IFERROR(INDEX(Puntos_Jornada!$B$2:$M$25,MATCH(Plantillas!H98,Puntos_Jornada!$A$2:$A$25,0),MATCH($A98,Puntos_Jornada!$B$1:$M$1,0)),0)</f>
        <v>0</v>
      </c>
      <c r="I98" s="15">
        <f t="shared" si="1"/>
        <v>0</v>
      </c>
    </row>
    <row r="99" spans="1:9" x14ac:dyDescent="0.25">
      <c r="A99" s="6">
        <f>Plantillas!A99</f>
        <v>5</v>
      </c>
      <c r="B99" s="13" t="str">
        <f>Plantillas!B99</f>
        <v>Alumno 2</v>
      </c>
      <c r="C99" s="6">
        <f>IFERROR(INDEX(Puntos_Jornada!$B$2:$M$25,MATCH(Plantillas!C99,Puntos_Jornada!$A$2:$A$25,0),MATCH($A99,Puntos_Jornada!$B$1:$M$1,0)),0)</f>
        <v>0</v>
      </c>
      <c r="D99" s="6">
        <f>IFERROR(INDEX(Puntos_Jornada!$B$2:$M$25,MATCH(Plantillas!D99,Puntos_Jornada!$A$2:$A$25,0),MATCH($A99,Puntos_Jornada!$B$1:$M$1,0)),0)</f>
        <v>0</v>
      </c>
      <c r="E99" s="6">
        <f>IFERROR(INDEX(Puntos_Jornada!$B$2:$M$25,MATCH(Plantillas!E99,Puntos_Jornada!$A$2:$A$25,0),MATCH($A99,Puntos_Jornada!$B$1:$M$1,0)),0)</f>
        <v>0</v>
      </c>
      <c r="F99" s="6">
        <f>IFERROR(INDEX(Puntos_Jornada!$B$2:$M$25,MATCH(Plantillas!F99,Puntos_Jornada!$A$2:$A$25,0),MATCH($A99,Puntos_Jornada!$B$1:$M$1,0)),0)</f>
        <v>0</v>
      </c>
      <c r="G99" s="6">
        <f>IFERROR(INDEX(Puntos_Jornada!$B$2:$M$25,MATCH(Plantillas!G99,Puntos_Jornada!$A$2:$A$25,0),MATCH($A99,Puntos_Jornada!$B$1:$M$1,0)),0)</f>
        <v>0</v>
      </c>
      <c r="H99" s="6">
        <f>IFERROR(INDEX(Puntos_Jornada!$B$2:$M$25,MATCH(Plantillas!H99,Puntos_Jornada!$A$2:$A$25,0),MATCH($A99,Puntos_Jornada!$B$1:$M$1,0)),0)</f>
        <v>0</v>
      </c>
      <c r="I99" s="15">
        <f t="shared" si="1"/>
        <v>0</v>
      </c>
    </row>
    <row r="100" spans="1:9" x14ac:dyDescent="0.25">
      <c r="A100" s="6">
        <f>Plantillas!A100</f>
        <v>5</v>
      </c>
      <c r="B100" s="13" t="str">
        <f>Plantillas!B100</f>
        <v>Alumno 3</v>
      </c>
      <c r="C100" s="6">
        <f>IFERROR(INDEX(Puntos_Jornada!$B$2:$M$25,MATCH(Plantillas!C100,Puntos_Jornada!$A$2:$A$25,0),MATCH($A100,Puntos_Jornada!$B$1:$M$1,0)),0)</f>
        <v>0</v>
      </c>
      <c r="D100" s="6">
        <f>IFERROR(INDEX(Puntos_Jornada!$B$2:$M$25,MATCH(Plantillas!D100,Puntos_Jornada!$A$2:$A$25,0),MATCH($A100,Puntos_Jornada!$B$1:$M$1,0)),0)</f>
        <v>0</v>
      </c>
      <c r="E100" s="6">
        <f>IFERROR(INDEX(Puntos_Jornada!$B$2:$M$25,MATCH(Plantillas!E100,Puntos_Jornada!$A$2:$A$25,0),MATCH($A100,Puntos_Jornada!$B$1:$M$1,0)),0)</f>
        <v>0</v>
      </c>
      <c r="F100" s="6">
        <f>IFERROR(INDEX(Puntos_Jornada!$B$2:$M$25,MATCH(Plantillas!F100,Puntos_Jornada!$A$2:$A$25,0),MATCH($A100,Puntos_Jornada!$B$1:$M$1,0)),0)</f>
        <v>0</v>
      </c>
      <c r="G100" s="6">
        <f>IFERROR(INDEX(Puntos_Jornada!$B$2:$M$25,MATCH(Plantillas!G100,Puntos_Jornada!$A$2:$A$25,0),MATCH($A100,Puntos_Jornada!$B$1:$M$1,0)),0)</f>
        <v>0</v>
      </c>
      <c r="H100" s="6">
        <f>IFERROR(INDEX(Puntos_Jornada!$B$2:$M$25,MATCH(Plantillas!H100,Puntos_Jornada!$A$2:$A$25,0),MATCH($A100,Puntos_Jornada!$B$1:$M$1,0)),0)</f>
        <v>0</v>
      </c>
      <c r="I100" s="15">
        <f t="shared" si="1"/>
        <v>0</v>
      </c>
    </row>
    <row r="101" spans="1:9" x14ac:dyDescent="0.25">
      <c r="A101" s="6">
        <f>Plantillas!A101</f>
        <v>5</v>
      </c>
      <c r="B101" s="13" t="str">
        <f>Plantillas!B101</f>
        <v>Alumno 4</v>
      </c>
      <c r="C101" s="6">
        <f>IFERROR(INDEX(Puntos_Jornada!$B$2:$M$25,MATCH(Plantillas!C101,Puntos_Jornada!$A$2:$A$25,0),MATCH($A101,Puntos_Jornada!$B$1:$M$1,0)),0)</f>
        <v>0</v>
      </c>
      <c r="D101" s="6">
        <f>IFERROR(INDEX(Puntos_Jornada!$B$2:$M$25,MATCH(Plantillas!D101,Puntos_Jornada!$A$2:$A$25,0),MATCH($A101,Puntos_Jornada!$B$1:$M$1,0)),0)</f>
        <v>0</v>
      </c>
      <c r="E101" s="6">
        <f>IFERROR(INDEX(Puntos_Jornada!$B$2:$M$25,MATCH(Plantillas!E101,Puntos_Jornada!$A$2:$A$25,0),MATCH($A101,Puntos_Jornada!$B$1:$M$1,0)),0)</f>
        <v>0</v>
      </c>
      <c r="F101" s="6">
        <f>IFERROR(INDEX(Puntos_Jornada!$B$2:$M$25,MATCH(Plantillas!F101,Puntos_Jornada!$A$2:$A$25,0),MATCH($A101,Puntos_Jornada!$B$1:$M$1,0)),0)</f>
        <v>0</v>
      </c>
      <c r="G101" s="6">
        <f>IFERROR(INDEX(Puntos_Jornada!$B$2:$M$25,MATCH(Plantillas!G101,Puntos_Jornada!$A$2:$A$25,0),MATCH($A101,Puntos_Jornada!$B$1:$M$1,0)),0)</f>
        <v>0</v>
      </c>
      <c r="H101" s="6">
        <f>IFERROR(INDEX(Puntos_Jornada!$B$2:$M$25,MATCH(Plantillas!H101,Puntos_Jornada!$A$2:$A$25,0),MATCH($A101,Puntos_Jornada!$B$1:$M$1,0)),0)</f>
        <v>0</v>
      </c>
      <c r="I101" s="15">
        <f t="shared" si="1"/>
        <v>0</v>
      </c>
    </row>
    <row r="102" spans="1:9" x14ac:dyDescent="0.25">
      <c r="A102" s="6">
        <f>Plantillas!A102</f>
        <v>5</v>
      </c>
      <c r="B102" s="13" t="str">
        <f>Plantillas!B102</f>
        <v>Alumno 5</v>
      </c>
      <c r="C102" s="6">
        <f>IFERROR(INDEX(Puntos_Jornada!$B$2:$M$25,MATCH(Plantillas!C102,Puntos_Jornada!$A$2:$A$25,0),MATCH($A102,Puntos_Jornada!$B$1:$M$1,0)),0)</f>
        <v>0</v>
      </c>
      <c r="D102" s="6">
        <f>IFERROR(INDEX(Puntos_Jornada!$B$2:$M$25,MATCH(Plantillas!D102,Puntos_Jornada!$A$2:$A$25,0),MATCH($A102,Puntos_Jornada!$B$1:$M$1,0)),0)</f>
        <v>0</v>
      </c>
      <c r="E102" s="6">
        <f>IFERROR(INDEX(Puntos_Jornada!$B$2:$M$25,MATCH(Plantillas!E102,Puntos_Jornada!$A$2:$A$25,0),MATCH($A102,Puntos_Jornada!$B$1:$M$1,0)),0)</f>
        <v>0</v>
      </c>
      <c r="F102" s="6">
        <f>IFERROR(INDEX(Puntos_Jornada!$B$2:$M$25,MATCH(Plantillas!F102,Puntos_Jornada!$A$2:$A$25,0),MATCH($A102,Puntos_Jornada!$B$1:$M$1,0)),0)</f>
        <v>0</v>
      </c>
      <c r="G102" s="6">
        <f>IFERROR(INDEX(Puntos_Jornada!$B$2:$M$25,MATCH(Plantillas!G102,Puntos_Jornada!$A$2:$A$25,0),MATCH($A102,Puntos_Jornada!$B$1:$M$1,0)),0)</f>
        <v>0</v>
      </c>
      <c r="H102" s="6">
        <f>IFERROR(INDEX(Puntos_Jornada!$B$2:$M$25,MATCH(Plantillas!H102,Puntos_Jornada!$A$2:$A$25,0),MATCH($A102,Puntos_Jornada!$B$1:$M$1,0)),0)</f>
        <v>0</v>
      </c>
      <c r="I102" s="15">
        <f t="shared" si="1"/>
        <v>0</v>
      </c>
    </row>
    <row r="103" spans="1:9" x14ac:dyDescent="0.25">
      <c r="A103" s="6">
        <f>Plantillas!A103</f>
        <v>5</v>
      </c>
      <c r="B103" s="13" t="str">
        <f>Plantillas!B103</f>
        <v>Alumno 6</v>
      </c>
      <c r="C103" s="6">
        <f>IFERROR(INDEX(Puntos_Jornada!$B$2:$M$25,MATCH(Plantillas!C103,Puntos_Jornada!$A$2:$A$25,0),MATCH($A103,Puntos_Jornada!$B$1:$M$1,0)),0)</f>
        <v>0</v>
      </c>
      <c r="D103" s="6">
        <f>IFERROR(INDEX(Puntos_Jornada!$B$2:$M$25,MATCH(Plantillas!D103,Puntos_Jornada!$A$2:$A$25,0),MATCH($A103,Puntos_Jornada!$B$1:$M$1,0)),0)</f>
        <v>0</v>
      </c>
      <c r="E103" s="6">
        <f>IFERROR(INDEX(Puntos_Jornada!$B$2:$M$25,MATCH(Plantillas!E103,Puntos_Jornada!$A$2:$A$25,0),MATCH($A103,Puntos_Jornada!$B$1:$M$1,0)),0)</f>
        <v>0</v>
      </c>
      <c r="F103" s="6">
        <f>IFERROR(INDEX(Puntos_Jornada!$B$2:$M$25,MATCH(Plantillas!F103,Puntos_Jornada!$A$2:$A$25,0),MATCH($A103,Puntos_Jornada!$B$1:$M$1,0)),0)</f>
        <v>0</v>
      </c>
      <c r="G103" s="6">
        <f>IFERROR(INDEX(Puntos_Jornada!$B$2:$M$25,MATCH(Plantillas!G103,Puntos_Jornada!$A$2:$A$25,0),MATCH($A103,Puntos_Jornada!$B$1:$M$1,0)),0)</f>
        <v>0</v>
      </c>
      <c r="H103" s="6">
        <f>IFERROR(INDEX(Puntos_Jornada!$B$2:$M$25,MATCH(Plantillas!H103,Puntos_Jornada!$A$2:$A$25,0),MATCH($A103,Puntos_Jornada!$B$1:$M$1,0)),0)</f>
        <v>0</v>
      </c>
      <c r="I103" s="15">
        <f t="shared" si="1"/>
        <v>0</v>
      </c>
    </row>
    <row r="104" spans="1:9" x14ac:dyDescent="0.25">
      <c r="A104" s="6">
        <f>Plantillas!A104</f>
        <v>5</v>
      </c>
      <c r="B104" s="13" t="str">
        <f>Plantillas!B104</f>
        <v>Alumno 7</v>
      </c>
      <c r="C104" s="6">
        <f>IFERROR(INDEX(Puntos_Jornada!$B$2:$M$25,MATCH(Plantillas!C104,Puntos_Jornada!$A$2:$A$25,0),MATCH($A104,Puntos_Jornada!$B$1:$M$1,0)),0)</f>
        <v>0</v>
      </c>
      <c r="D104" s="6">
        <f>IFERROR(INDEX(Puntos_Jornada!$B$2:$M$25,MATCH(Plantillas!D104,Puntos_Jornada!$A$2:$A$25,0),MATCH($A104,Puntos_Jornada!$B$1:$M$1,0)),0)</f>
        <v>0</v>
      </c>
      <c r="E104" s="6">
        <f>IFERROR(INDEX(Puntos_Jornada!$B$2:$M$25,MATCH(Plantillas!E104,Puntos_Jornada!$A$2:$A$25,0),MATCH($A104,Puntos_Jornada!$B$1:$M$1,0)),0)</f>
        <v>0</v>
      </c>
      <c r="F104" s="6">
        <f>IFERROR(INDEX(Puntos_Jornada!$B$2:$M$25,MATCH(Plantillas!F104,Puntos_Jornada!$A$2:$A$25,0),MATCH($A104,Puntos_Jornada!$B$1:$M$1,0)),0)</f>
        <v>0</v>
      </c>
      <c r="G104" s="6">
        <f>IFERROR(INDEX(Puntos_Jornada!$B$2:$M$25,MATCH(Plantillas!G104,Puntos_Jornada!$A$2:$A$25,0),MATCH($A104,Puntos_Jornada!$B$1:$M$1,0)),0)</f>
        <v>0</v>
      </c>
      <c r="H104" s="6">
        <f>IFERROR(INDEX(Puntos_Jornada!$B$2:$M$25,MATCH(Plantillas!H104,Puntos_Jornada!$A$2:$A$25,0),MATCH($A104,Puntos_Jornada!$B$1:$M$1,0)),0)</f>
        <v>0</v>
      </c>
      <c r="I104" s="15">
        <f t="shared" si="1"/>
        <v>0</v>
      </c>
    </row>
    <row r="105" spans="1:9" x14ac:dyDescent="0.25">
      <c r="A105" s="6">
        <f>Plantillas!A105</f>
        <v>5</v>
      </c>
      <c r="B105" s="13" t="str">
        <f>Plantillas!B105</f>
        <v>Alumno 8</v>
      </c>
      <c r="C105" s="6">
        <f>IFERROR(INDEX(Puntos_Jornada!$B$2:$M$25,MATCH(Plantillas!C105,Puntos_Jornada!$A$2:$A$25,0),MATCH($A105,Puntos_Jornada!$B$1:$M$1,0)),0)</f>
        <v>0</v>
      </c>
      <c r="D105" s="6">
        <f>IFERROR(INDEX(Puntos_Jornada!$B$2:$M$25,MATCH(Plantillas!D105,Puntos_Jornada!$A$2:$A$25,0),MATCH($A105,Puntos_Jornada!$B$1:$M$1,0)),0)</f>
        <v>0</v>
      </c>
      <c r="E105" s="6">
        <f>IFERROR(INDEX(Puntos_Jornada!$B$2:$M$25,MATCH(Plantillas!E105,Puntos_Jornada!$A$2:$A$25,0),MATCH($A105,Puntos_Jornada!$B$1:$M$1,0)),0)</f>
        <v>0</v>
      </c>
      <c r="F105" s="6">
        <f>IFERROR(INDEX(Puntos_Jornada!$B$2:$M$25,MATCH(Plantillas!F105,Puntos_Jornada!$A$2:$A$25,0),MATCH($A105,Puntos_Jornada!$B$1:$M$1,0)),0)</f>
        <v>0</v>
      </c>
      <c r="G105" s="6">
        <f>IFERROR(INDEX(Puntos_Jornada!$B$2:$M$25,MATCH(Plantillas!G105,Puntos_Jornada!$A$2:$A$25,0),MATCH($A105,Puntos_Jornada!$B$1:$M$1,0)),0)</f>
        <v>0</v>
      </c>
      <c r="H105" s="6">
        <f>IFERROR(INDEX(Puntos_Jornada!$B$2:$M$25,MATCH(Plantillas!H105,Puntos_Jornada!$A$2:$A$25,0),MATCH($A105,Puntos_Jornada!$B$1:$M$1,0)),0)</f>
        <v>0</v>
      </c>
      <c r="I105" s="15">
        <f t="shared" si="1"/>
        <v>0</v>
      </c>
    </row>
    <row r="106" spans="1:9" x14ac:dyDescent="0.25">
      <c r="A106" s="6">
        <f>Plantillas!A106</f>
        <v>5</v>
      </c>
      <c r="B106" s="13" t="str">
        <f>Plantillas!B106</f>
        <v>Alumno 9</v>
      </c>
      <c r="C106" s="6">
        <f>IFERROR(INDEX(Puntos_Jornada!$B$2:$M$25,MATCH(Plantillas!C106,Puntos_Jornada!$A$2:$A$25,0),MATCH($A106,Puntos_Jornada!$B$1:$M$1,0)),0)</f>
        <v>0</v>
      </c>
      <c r="D106" s="6">
        <f>IFERROR(INDEX(Puntos_Jornada!$B$2:$M$25,MATCH(Plantillas!D106,Puntos_Jornada!$A$2:$A$25,0),MATCH($A106,Puntos_Jornada!$B$1:$M$1,0)),0)</f>
        <v>0</v>
      </c>
      <c r="E106" s="6">
        <f>IFERROR(INDEX(Puntos_Jornada!$B$2:$M$25,MATCH(Plantillas!E106,Puntos_Jornada!$A$2:$A$25,0),MATCH($A106,Puntos_Jornada!$B$1:$M$1,0)),0)</f>
        <v>0</v>
      </c>
      <c r="F106" s="6">
        <f>IFERROR(INDEX(Puntos_Jornada!$B$2:$M$25,MATCH(Plantillas!F106,Puntos_Jornada!$A$2:$A$25,0),MATCH($A106,Puntos_Jornada!$B$1:$M$1,0)),0)</f>
        <v>0</v>
      </c>
      <c r="G106" s="6">
        <f>IFERROR(INDEX(Puntos_Jornada!$B$2:$M$25,MATCH(Plantillas!G106,Puntos_Jornada!$A$2:$A$25,0),MATCH($A106,Puntos_Jornada!$B$1:$M$1,0)),0)</f>
        <v>0</v>
      </c>
      <c r="H106" s="6">
        <f>IFERROR(INDEX(Puntos_Jornada!$B$2:$M$25,MATCH(Plantillas!H106,Puntos_Jornada!$A$2:$A$25,0),MATCH($A106,Puntos_Jornada!$B$1:$M$1,0)),0)</f>
        <v>0</v>
      </c>
      <c r="I106" s="15">
        <f t="shared" si="1"/>
        <v>0</v>
      </c>
    </row>
    <row r="107" spans="1:9" x14ac:dyDescent="0.25">
      <c r="A107" s="6">
        <f>Plantillas!A107</f>
        <v>5</v>
      </c>
      <c r="B107" s="13" t="str">
        <f>Plantillas!B107</f>
        <v>Alumno 10</v>
      </c>
      <c r="C107" s="6">
        <f>IFERROR(INDEX(Puntos_Jornada!$B$2:$M$25,MATCH(Plantillas!C107,Puntos_Jornada!$A$2:$A$25,0),MATCH($A107,Puntos_Jornada!$B$1:$M$1,0)),0)</f>
        <v>0</v>
      </c>
      <c r="D107" s="6">
        <f>IFERROR(INDEX(Puntos_Jornada!$B$2:$M$25,MATCH(Plantillas!D107,Puntos_Jornada!$A$2:$A$25,0),MATCH($A107,Puntos_Jornada!$B$1:$M$1,0)),0)</f>
        <v>0</v>
      </c>
      <c r="E107" s="6">
        <f>IFERROR(INDEX(Puntos_Jornada!$B$2:$M$25,MATCH(Plantillas!E107,Puntos_Jornada!$A$2:$A$25,0),MATCH($A107,Puntos_Jornada!$B$1:$M$1,0)),0)</f>
        <v>0</v>
      </c>
      <c r="F107" s="6">
        <f>IFERROR(INDEX(Puntos_Jornada!$B$2:$M$25,MATCH(Plantillas!F107,Puntos_Jornada!$A$2:$A$25,0),MATCH($A107,Puntos_Jornada!$B$1:$M$1,0)),0)</f>
        <v>0</v>
      </c>
      <c r="G107" s="6">
        <f>IFERROR(INDEX(Puntos_Jornada!$B$2:$M$25,MATCH(Plantillas!G107,Puntos_Jornada!$A$2:$A$25,0),MATCH($A107,Puntos_Jornada!$B$1:$M$1,0)),0)</f>
        <v>0</v>
      </c>
      <c r="H107" s="6">
        <f>IFERROR(INDEX(Puntos_Jornada!$B$2:$M$25,MATCH(Plantillas!H107,Puntos_Jornada!$A$2:$A$25,0),MATCH($A107,Puntos_Jornada!$B$1:$M$1,0)),0)</f>
        <v>0</v>
      </c>
      <c r="I107" s="15">
        <f t="shared" si="1"/>
        <v>0</v>
      </c>
    </row>
    <row r="108" spans="1:9" x14ac:dyDescent="0.25">
      <c r="A108" s="6">
        <f>Plantillas!A108</f>
        <v>5</v>
      </c>
      <c r="B108" s="13" t="str">
        <f>Plantillas!B108</f>
        <v>Alumno 11</v>
      </c>
      <c r="C108" s="6">
        <f>IFERROR(INDEX(Puntos_Jornada!$B$2:$M$25,MATCH(Plantillas!C108,Puntos_Jornada!$A$2:$A$25,0),MATCH($A108,Puntos_Jornada!$B$1:$M$1,0)),0)</f>
        <v>0</v>
      </c>
      <c r="D108" s="6">
        <f>IFERROR(INDEX(Puntos_Jornada!$B$2:$M$25,MATCH(Plantillas!D108,Puntos_Jornada!$A$2:$A$25,0),MATCH($A108,Puntos_Jornada!$B$1:$M$1,0)),0)</f>
        <v>0</v>
      </c>
      <c r="E108" s="6">
        <f>IFERROR(INDEX(Puntos_Jornada!$B$2:$M$25,MATCH(Plantillas!E108,Puntos_Jornada!$A$2:$A$25,0),MATCH($A108,Puntos_Jornada!$B$1:$M$1,0)),0)</f>
        <v>0</v>
      </c>
      <c r="F108" s="6">
        <f>IFERROR(INDEX(Puntos_Jornada!$B$2:$M$25,MATCH(Plantillas!F108,Puntos_Jornada!$A$2:$A$25,0),MATCH($A108,Puntos_Jornada!$B$1:$M$1,0)),0)</f>
        <v>0</v>
      </c>
      <c r="G108" s="6">
        <f>IFERROR(INDEX(Puntos_Jornada!$B$2:$M$25,MATCH(Plantillas!G108,Puntos_Jornada!$A$2:$A$25,0),MATCH($A108,Puntos_Jornada!$B$1:$M$1,0)),0)</f>
        <v>0</v>
      </c>
      <c r="H108" s="6">
        <f>IFERROR(INDEX(Puntos_Jornada!$B$2:$M$25,MATCH(Plantillas!H108,Puntos_Jornada!$A$2:$A$25,0),MATCH($A108,Puntos_Jornada!$B$1:$M$1,0)),0)</f>
        <v>0</v>
      </c>
      <c r="I108" s="15">
        <f t="shared" si="1"/>
        <v>0</v>
      </c>
    </row>
    <row r="109" spans="1:9" x14ac:dyDescent="0.25">
      <c r="A109" s="6">
        <f>Plantillas!A109</f>
        <v>5</v>
      </c>
      <c r="B109" s="13" t="str">
        <f>Plantillas!B109</f>
        <v>Alumno 12</v>
      </c>
      <c r="C109" s="6">
        <f>IFERROR(INDEX(Puntos_Jornada!$B$2:$M$25,MATCH(Plantillas!C109,Puntos_Jornada!$A$2:$A$25,0),MATCH($A109,Puntos_Jornada!$B$1:$M$1,0)),0)</f>
        <v>0</v>
      </c>
      <c r="D109" s="6">
        <f>IFERROR(INDEX(Puntos_Jornada!$B$2:$M$25,MATCH(Plantillas!D109,Puntos_Jornada!$A$2:$A$25,0),MATCH($A109,Puntos_Jornada!$B$1:$M$1,0)),0)</f>
        <v>0</v>
      </c>
      <c r="E109" s="6">
        <f>IFERROR(INDEX(Puntos_Jornada!$B$2:$M$25,MATCH(Plantillas!E109,Puntos_Jornada!$A$2:$A$25,0),MATCH($A109,Puntos_Jornada!$B$1:$M$1,0)),0)</f>
        <v>0</v>
      </c>
      <c r="F109" s="6">
        <f>IFERROR(INDEX(Puntos_Jornada!$B$2:$M$25,MATCH(Plantillas!F109,Puntos_Jornada!$A$2:$A$25,0),MATCH($A109,Puntos_Jornada!$B$1:$M$1,0)),0)</f>
        <v>0</v>
      </c>
      <c r="G109" s="6">
        <f>IFERROR(INDEX(Puntos_Jornada!$B$2:$M$25,MATCH(Plantillas!G109,Puntos_Jornada!$A$2:$A$25,0),MATCH($A109,Puntos_Jornada!$B$1:$M$1,0)),0)</f>
        <v>0</v>
      </c>
      <c r="H109" s="6">
        <f>IFERROR(INDEX(Puntos_Jornada!$B$2:$M$25,MATCH(Plantillas!H109,Puntos_Jornada!$A$2:$A$25,0),MATCH($A109,Puntos_Jornada!$B$1:$M$1,0)),0)</f>
        <v>0</v>
      </c>
      <c r="I109" s="15">
        <f t="shared" si="1"/>
        <v>0</v>
      </c>
    </row>
    <row r="110" spans="1:9" x14ac:dyDescent="0.25">
      <c r="A110" s="6">
        <f>Plantillas!A110</f>
        <v>5</v>
      </c>
      <c r="B110" s="13" t="str">
        <f>Plantillas!B110</f>
        <v>Alumno 13</v>
      </c>
      <c r="C110" s="6">
        <f>IFERROR(INDEX(Puntos_Jornada!$B$2:$M$25,MATCH(Plantillas!C110,Puntos_Jornada!$A$2:$A$25,0),MATCH($A110,Puntos_Jornada!$B$1:$M$1,0)),0)</f>
        <v>0</v>
      </c>
      <c r="D110" s="6">
        <f>IFERROR(INDEX(Puntos_Jornada!$B$2:$M$25,MATCH(Plantillas!D110,Puntos_Jornada!$A$2:$A$25,0),MATCH($A110,Puntos_Jornada!$B$1:$M$1,0)),0)</f>
        <v>0</v>
      </c>
      <c r="E110" s="6">
        <f>IFERROR(INDEX(Puntos_Jornada!$B$2:$M$25,MATCH(Plantillas!E110,Puntos_Jornada!$A$2:$A$25,0),MATCH($A110,Puntos_Jornada!$B$1:$M$1,0)),0)</f>
        <v>0</v>
      </c>
      <c r="F110" s="6">
        <f>IFERROR(INDEX(Puntos_Jornada!$B$2:$M$25,MATCH(Plantillas!F110,Puntos_Jornada!$A$2:$A$25,0),MATCH($A110,Puntos_Jornada!$B$1:$M$1,0)),0)</f>
        <v>0</v>
      </c>
      <c r="G110" s="6">
        <f>IFERROR(INDEX(Puntos_Jornada!$B$2:$M$25,MATCH(Plantillas!G110,Puntos_Jornada!$A$2:$A$25,0),MATCH($A110,Puntos_Jornada!$B$1:$M$1,0)),0)</f>
        <v>0</v>
      </c>
      <c r="H110" s="6">
        <f>IFERROR(INDEX(Puntos_Jornada!$B$2:$M$25,MATCH(Plantillas!H110,Puntos_Jornada!$A$2:$A$25,0),MATCH($A110,Puntos_Jornada!$B$1:$M$1,0)),0)</f>
        <v>0</v>
      </c>
      <c r="I110" s="15">
        <f t="shared" si="1"/>
        <v>0</v>
      </c>
    </row>
    <row r="111" spans="1:9" x14ac:dyDescent="0.25">
      <c r="A111" s="6">
        <f>Plantillas!A111</f>
        <v>5</v>
      </c>
      <c r="B111" s="13" t="str">
        <f>Plantillas!B111</f>
        <v>Alumno 14</v>
      </c>
      <c r="C111" s="6">
        <f>IFERROR(INDEX(Puntos_Jornada!$B$2:$M$25,MATCH(Plantillas!C111,Puntos_Jornada!$A$2:$A$25,0),MATCH($A111,Puntos_Jornada!$B$1:$M$1,0)),0)</f>
        <v>0</v>
      </c>
      <c r="D111" s="6">
        <f>IFERROR(INDEX(Puntos_Jornada!$B$2:$M$25,MATCH(Plantillas!D111,Puntos_Jornada!$A$2:$A$25,0),MATCH($A111,Puntos_Jornada!$B$1:$M$1,0)),0)</f>
        <v>0</v>
      </c>
      <c r="E111" s="6">
        <f>IFERROR(INDEX(Puntos_Jornada!$B$2:$M$25,MATCH(Plantillas!E111,Puntos_Jornada!$A$2:$A$25,0),MATCH($A111,Puntos_Jornada!$B$1:$M$1,0)),0)</f>
        <v>0</v>
      </c>
      <c r="F111" s="6">
        <f>IFERROR(INDEX(Puntos_Jornada!$B$2:$M$25,MATCH(Plantillas!F111,Puntos_Jornada!$A$2:$A$25,0),MATCH($A111,Puntos_Jornada!$B$1:$M$1,0)),0)</f>
        <v>0</v>
      </c>
      <c r="G111" s="6">
        <f>IFERROR(INDEX(Puntos_Jornada!$B$2:$M$25,MATCH(Plantillas!G111,Puntos_Jornada!$A$2:$A$25,0),MATCH($A111,Puntos_Jornada!$B$1:$M$1,0)),0)</f>
        <v>0</v>
      </c>
      <c r="H111" s="6">
        <f>IFERROR(INDEX(Puntos_Jornada!$B$2:$M$25,MATCH(Plantillas!H111,Puntos_Jornada!$A$2:$A$25,0),MATCH($A111,Puntos_Jornada!$B$1:$M$1,0)),0)</f>
        <v>0</v>
      </c>
      <c r="I111" s="15">
        <f t="shared" si="1"/>
        <v>0</v>
      </c>
    </row>
    <row r="112" spans="1:9" x14ac:dyDescent="0.25">
      <c r="A112" s="6">
        <f>Plantillas!A112</f>
        <v>5</v>
      </c>
      <c r="B112" s="13" t="str">
        <f>Plantillas!B112</f>
        <v>Alumno 15</v>
      </c>
      <c r="C112" s="6">
        <f>IFERROR(INDEX(Puntos_Jornada!$B$2:$M$25,MATCH(Plantillas!C112,Puntos_Jornada!$A$2:$A$25,0),MATCH($A112,Puntos_Jornada!$B$1:$M$1,0)),0)</f>
        <v>0</v>
      </c>
      <c r="D112" s="6">
        <f>IFERROR(INDEX(Puntos_Jornada!$B$2:$M$25,MATCH(Plantillas!D112,Puntos_Jornada!$A$2:$A$25,0),MATCH($A112,Puntos_Jornada!$B$1:$M$1,0)),0)</f>
        <v>0</v>
      </c>
      <c r="E112" s="6">
        <f>IFERROR(INDEX(Puntos_Jornada!$B$2:$M$25,MATCH(Plantillas!E112,Puntos_Jornada!$A$2:$A$25,0),MATCH($A112,Puntos_Jornada!$B$1:$M$1,0)),0)</f>
        <v>0</v>
      </c>
      <c r="F112" s="6">
        <f>IFERROR(INDEX(Puntos_Jornada!$B$2:$M$25,MATCH(Plantillas!F112,Puntos_Jornada!$A$2:$A$25,0),MATCH($A112,Puntos_Jornada!$B$1:$M$1,0)),0)</f>
        <v>0</v>
      </c>
      <c r="G112" s="6">
        <f>IFERROR(INDEX(Puntos_Jornada!$B$2:$M$25,MATCH(Plantillas!G112,Puntos_Jornada!$A$2:$A$25,0),MATCH($A112,Puntos_Jornada!$B$1:$M$1,0)),0)</f>
        <v>0</v>
      </c>
      <c r="H112" s="6">
        <f>IFERROR(INDEX(Puntos_Jornada!$B$2:$M$25,MATCH(Plantillas!H112,Puntos_Jornada!$A$2:$A$25,0),MATCH($A112,Puntos_Jornada!$B$1:$M$1,0)),0)</f>
        <v>0</v>
      </c>
      <c r="I112" s="15">
        <f t="shared" si="1"/>
        <v>0</v>
      </c>
    </row>
    <row r="113" spans="1:9" x14ac:dyDescent="0.25">
      <c r="A113" s="6">
        <f>Plantillas!A113</f>
        <v>5</v>
      </c>
      <c r="B113" s="13" t="str">
        <f>Plantillas!B113</f>
        <v>Alumno 16</v>
      </c>
      <c r="C113" s="6">
        <f>IFERROR(INDEX(Puntos_Jornada!$B$2:$M$25,MATCH(Plantillas!C113,Puntos_Jornada!$A$2:$A$25,0),MATCH($A113,Puntos_Jornada!$B$1:$M$1,0)),0)</f>
        <v>0</v>
      </c>
      <c r="D113" s="6">
        <f>IFERROR(INDEX(Puntos_Jornada!$B$2:$M$25,MATCH(Plantillas!D113,Puntos_Jornada!$A$2:$A$25,0),MATCH($A113,Puntos_Jornada!$B$1:$M$1,0)),0)</f>
        <v>0</v>
      </c>
      <c r="E113" s="6">
        <f>IFERROR(INDEX(Puntos_Jornada!$B$2:$M$25,MATCH(Plantillas!E113,Puntos_Jornada!$A$2:$A$25,0),MATCH($A113,Puntos_Jornada!$B$1:$M$1,0)),0)</f>
        <v>0</v>
      </c>
      <c r="F113" s="6">
        <f>IFERROR(INDEX(Puntos_Jornada!$B$2:$M$25,MATCH(Plantillas!F113,Puntos_Jornada!$A$2:$A$25,0),MATCH($A113,Puntos_Jornada!$B$1:$M$1,0)),0)</f>
        <v>0</v>
      </c>
      <c r="G113" s="6">
        <f>IFERROR(INDEX(Puntos_Jornada!$B$2:$M$25,MATCH(Plantillas!G113,Puntos_Jornada!$A$2:$A$25,0),MATCH($A113,Puntos_Jornada!$B$1:$M$1,0)),0)</f>
        <v>0</v>
      </c>
      <c r="H113" s="6">
        <f>IFERROR(INDEX(Puntos_Jornada!$B$2:$M$25,MATCH(Plantillas!H113,Puntos_Jornada!$A$2:$A$25,0),MATCH($A113,Puntos_Jornada!$B$1:$M$1,0)),0)</f>
        <v>0</v>
      </c>
      <c r="I113" s="15">
        <f t="shared" si="1"/>
        <v>0</v>
      </c>
    </row>
    <row r="114" spans="1:9" x14ac:dyDescent="0.25">
      <c r="A114" s="6">
        <f>Plantillas!A114</f>
        <v>5</v>
      </c>
      <c r="B114" s="13" t="str">
        <f>Plantillas!B114</f>
        <v>Alumno 17</v>
      </c>
      <c r="C114" s="6">
        <f>IFERROR(INDEX(Puntos_Jornada!$B$2:$M$25,MATCH(Plantillas!C114,Puntos_Jornada!$A$2:$A$25,0),MATCH($A114,Puntos_Jornada!$B$1:$M$1,0)),0)</f>
        <v>0</v>
      </c>
      <c r="D114" s="6">
        <f>IFERROR(INDEX(Puntos_Jornada!$B$2:$M$25,MATCH(Plantillas!D114,Puntos_Jornada!$A$2:$A$25,0),MATCH($A114,Puntos_Jornada!$B$1:$M$1,0)),0)</f>
        <v>0</v>
      </c>
      <c r="E114" s="6">
        <f>IFERROR(INDEX(Puntos_Jornada!$B$2:$M$25,MATCH(Plantillas!E114,Puntos_Jornada!$A$2:$A$25,0),MATCH($A114,Puntos_Jornada!$B$1:$M$1,0)),0)</f>
        <v>0</v>
      </c>
      <c r="F114" s="6">
        <f>IFERROR(INDEX(Puntos_Jornada!$B$2:$M$25,MATCH(Plantillas!F114,Puntos_Jornada!$A$2:$A$25,0),MATCH($A114,Puntos_Jornada!$B$1:$M$1,0)),0)</f>
        <v>0</v>
      </c>
      <c r="G114" s="6">
        <f>IFERROR(INDEX(Puntos_Jornada!$B$2:$M$25,MATCH(Plantillas!G114,Puntos_Jornada!$A$2:$A$25,0),MATCH($A114,Puntos_Jornada!$B$1:$M$1,0)),0)</f>
        <v>0</v>
      </c>
      <c r="H114" s="6">
        <f>IFERROR(INDEX(Puntos_Jornada!$B$2:$M$25,MATCH(Plantillas!H114,Puntos_Jornada!$A$2:$A$25,0),MATCH($A114,Puntos_Jornada!$B$1:$M$1,0)),0)</f>
        <v>0</v>
      </c>
      <c r="I114" s="15">
        <f t="shared" si="1"/>
        <v>0</v>
      </c>
    </row>
    <row r="115" spans="1:9" x14ac:dyDescent="0.25">
      <c r="A115" s="6">
        <f>Plantillas!A115</f>
        <v>5</v>
      </c>
      <c r="B115" s="13" t="str">
        <f>Plantillas!B115</f>
        <v>Alumno 18</v>
      </c>
      <c r="C115" s="6">
        <f>IFERROR(INDEX(Puntos_Jornada!$B$2:$M$25,MATCH(Plantillas!C115,Puntos_Jornada!$A$2:$A$25,0),MATCH($A115,Puntos_Jornada!$B$1:$M$1,0)),0)</f>
        <v>0</v>
      </c>
      <c r="D115" s="6">
        <f>IFERROR(INDEX(Puntos_Jornada!$B$2:$M$25,MATCH(Plantillas!D115,Puntos_Jornada!$A$2:$A$25,0),MATCH($A115,Puntos_Jornada!$B$1:$M$1,0)),0)</f>
        <v>0</v>
      </c>
      <c r="E115" s="6">
        <f>IFERROR(INDEX(Puntos_Jornada!$B$2:$M$25,MATCH(Plantillas!E115,Puntos_Jornada!$A$2:$A$25,0),MATCH($A115,Puntos_Jornada!$B$1:$M$1,0)),0)</f>
        <v>0</v>
      </c>
      <c r="F115" s="6">
        <f>IFERROR(INDEX(Puntos_Jornada!$B$2:$M$25,MATCH(Plantillas!F115,Puntos_Jornada!$A$2:$A$25,0),MATCH($A115,Puntos_Jornada!$B$1:$M$1,0)),0)</f>
        <v>0</v>
      </c>
      <c r="G115" s="6">
        <f>IFERROR(INDEX(Puntos_Jornada!$B$2:$M$25,MATCH(Plantillas!G115,Puntos_Jornada!$A$2:$A$25,0),MATCH($A115,Puntos_Jornada!$B$1:$M$1,0)),0)</f>
        <v>0</v>
      </c>
      <c r="H115" s="6">
        <f>IFERROR(INDEX(Puntos_Jornada!$B$2:$M$25,MATCH(Plantillas!H115,Puntos_Jornada!$A$2:$A$25,0),MATCH($A115,Puntos_Jornada!$B$1:$M$1,0)),0)</f>
        <v>0</v>
      </c>
      <c r="I115" s="15">
        <f t="shared" si="1"/>
        <v>0</v>
      </c>
    </row>
    <row r="116" spans="1:9" x14ac:dyDescent="0.25">
      <c r="A116" s="6">
        <f>Plantillas!A116</f>
        <v>5</v>
      </c>
      <c r="B116" s="13" t="str">
        <f>Plantillas!B116</f>
        <v>Alumno 19</v>
      </c>
      <c r="C116" s="6">
        <f>IFERROR(INDEX(Puntos_Jornada!$B$2:$M$25,MATCH(Plantillas!C116,Puntos_Jornada!$A$2:$A$25,0),MATCH($A116,Puntos_Jornada!$B$1:$M$1,0)),0)</f>
        <v>0</v>
      </c>
      <c r="D116" s="6">
        <f>IFERROR(INDEX(Puntos_Jornada!$B$2:$M$25,MATCH(Plantillas!D116,Puntos_Jornada!$A$2:$A$25,0),MATCH($A116,Puntos_Jornada!$B$1:$M$1,0)),0)</f>
        <v>0</v>
      </c>
      <c r="E116" s="6">
        <f>IFERROR(INDEX(Puntos_Jornada!$B$2:$M$25,MATCH(Plantillas!E116,Puntos_Jornada!$A$2:$A$25,0),MATCH($A116,Puntos_Jornada!$B$1:$M$1,0)),0)</f>
        <v>0</v>
      </c>
      <c r="F116" s="6">
        <f>IFERROR(INDEX(Puntos_Jornada!$B$2:$M$25,MATCH(Plantillas!F116,Puntos_Jornada!$A$2:$A$25,0),MATCH($A116,Puntos_Jornada!$B$1:$M$1,0)),0)</f>
        <v>0</v>
      </c>
      <c r="G116" s="6">
        <f>IFERROR(INDEX(Puntos_Jornada!$B$2:$M$25,MATCH(Plantillas!G116,Puntos_Jornada!$A$2:$A$25,0),MATCH($A116,Puntos_Jornada!$B$1:$M$1,0)),0)</f>
        <v>0</v>
      </c>
      <c r="H116" s="6">
        <f>IFERROR(INDEX(Puntos_Jornada!$B$2:$M$25,MATCH(Plantillas!H116,Puntos_Jornada!$A$2:$A$25,0),MATCH($A116,Puntos_Jornada!$B$1:$M$1,0)),0)</f>
        <v>0</v>
      </c>
      <c r="I116" s="15">
        <f t="shared" si="1"/>
        <v>0</v>
      </c>
    </row>
    <row r="117" spans="1:9" x14ac:dyDescent="0.25">
      <c r="A117" s="6">
        <f>Plantillas!A117</f>
        <v>5</v>
      </c>
      <c r="B117" s="13" t="str">
        <f>Plantillas!B117</f>
        <v>Alumno 20</v>
      </c>
      <c r="C117" s="6">
        <f>IFERROR(INDEX(Puntos_Jornada!$B$2:$M$25,MATCH(Plantillas!C117,Puntos_Jornada!$A$2:$A$25,0),MATCH($A117,Puntos_Jornada!$B$1:$M$1,0)),0)</f>
        <v>0</v>
      </c>
      <c r="D117" s="6">
        <f>IFERROR(INDEX(Puntos_Jornada!$B$2:$M$25,MATCH(Plantillas!D117,Puntos_Jornada!$A$2:$A$25,0),MATCH($A117,Puntos_Jornada!$B$1:$M$1,0)),0)</f>
        <v>0</v>
      </c>
      <c r="E117" s="6">
        <f>IFERROR(INDEX(Puntos_Jornada!$B$2:$M$25,MATCH(Plantillas!E117,Puntos_Jornada!$A$2:$A$25,0),MATCH($A117,Puntos_Jornada!$B$1:$M$1,0)),0)</f>
        <v>0</v>
      </c>
      <c r="F117" s="6">
        <f>IFERROR(INDEX(Puntos_Jornada!$B$2:$M$25,MATCH(Plantillas!F117,Puntos_Jornada!$A$2:$A$25,0),MATCH($A117,Puntos_Jornada!$B$1:$M$1,0)),0)</f>
        <v>0</v>
      </c>
      <c r="G117" s="6">
        <f>IFERROR(INDEX(Puntos_Jornada!$B$2:$M$25,MATCH(Plantillas!G117,Puntos_Jornada!$A$2:$A$25,0),MATCH($A117,Puntos_Jornada!$B$1:$M$1,0)),0)</f>
        <v>0</v>
      </c>
      <c r="H117" s="6">
        <f>IFERROR(INDEX(Puntos_Jornada!$B$2:$M$25,MATCH(Plantillas!H117,Puntos_Jornada!$A$2:$A$25,0),MATCH($A117,Puntos_Jornada!$B$1:$M$1,0)),0)</f>
        <v>0</v>
      </c>
      <c r="I117" s="15">
        <f t="shared" si="1"/>
        <v>0</v>
      </c>
    </row>
    <row r="118" spans="1:9" x14ac:dyDescent="0.25">
      <c r="A118" s="6">
        <f>Plantillas!A118</f>
        <v>5</v>
      </c>
      <c r="B118" s="13" t="str">
        <f>Plantillas!B118</f>
        <v>Alumno 21</v>
      </c>
      <c r="C118" s="6">
        <f>IFERROR(INDEX(Puntos_Jornada!$B$2:$M$25,MATCH(Plantillas!C118,Puntos_Jornada!$A$2:$A$25,0),MATCH($A118,Puntos_Jornada!$B$1:$M$1,0)),0)</f>
        <v>0</v>
      </c>
      <c r="D118" s="6">
        <f>IFERROR(INDEX(Puntos_Jornada!$B$2:$M$25,MATCH(Plantillas!D118,Puntos_Jornada!$A$2:$A$25,0),MATCH($A118,Puntos_Jornada!$B$1:$M$1,0)),0)</f>
        <v>0</v>
      </c>
      <c r="E118" s="6">
        <f>IFERROR(INDEX(Puntos_Jornada!$B$2:$M$25,MATCH(Plantillas!E118,Puntos_Jornada!$A$2:$A$25,0),MATCH($A118,Puntos_Jornada!$B$1:$M$1,0)),0)</f>
        <v>0</v>
      </c>
      <c r="F118" s="6">
        <f>IFERROR(INDEX(Puntos_Jornada!$B$2:$M$25,MATCH(Plantillas!F118,Puntos_Jornada!$A$2:$A$25,0),MATCH($A118,Puntos_Jornada!$B$1:$M$1,0)),0)</f>
        <v>0</v>
      </c>
      <c r="G118" s="6">
        <f>IFERROR(INDEX(Puntos_Jornada!$B$2:$M$25,MATCH(Plantillas!G118,Puntos_Jornada!$A$2:$A$25,0),MATCH($A118,Puntos_Jornada!$B$1:$M$1,0)),0)</f>
        <v>0</v>
      </c>
      <c r="H118" s="6">
        <f>IFERROR(INDEX(Puntos_Jornada!$B$2:$M$25,MATCH(Plantillas!H118,Puntos_Jornada!$A$2:$A$25,0),MATCH($A118,Puntos_Jornada!$B$1:$M$1,0)),0)</f>
        <v>0</v>
      </c>
      <c r="I118" s="15">
        <f t="shared" si="1"/>
        <v>0</v>
      </c>
    </row>
    <row r="119" spans="1:9" x14ac:dyDescent="0.25">
      <c r="A119" s="6">
        <f>Plantillas!A119</f>
        <v>5</v>
      </c>
      <c r="B119" s="13" t="str">
        <f>Plantillas!B119</f>
        <v>Alumno 22</v>
      </c>
      <c r="C119" s="6">
        <f>IFERROR(INDEX(Puntos_Jornada!$B$2:$M$25,MATCH(Plantillas!C119,Puntos_Jornada!$A$2:$A$25,0),MATCH($A119,Puntos_Jornada!$B$1:$M$1,0)),0)</f>
        <v>0</v>
      </c>
      <c r="D119" s="6">
        <f>IFERROR(INDEX(Puntos_Jornada!$B$2:$M$25,MATCH(Plantillas!D119,Puntos_Jornada!$A$2:$A$25,0),MATCH($A119,Puntos_Jornada!$B$1:$M$1,0)),0)</f>
        <v>0</v>
      </c>
      <c r="E119" s="6">
        <f>IFERROR(INDEX(Puntos_Jornada!$B$2:$M$25,MATCH(Plantillas!E119,Puntos_Jornada!$A$2:$A$25,0),MATCH($A119,Puntos_Jornada!$B$1:$M$1,0)),0)</f>
        <v>0</v>
      </c>
      <c r="F119" s="6">
        <f>IFERROR(INDEX(Puntos_Jornada!$B$2:$M$25,MATCH(Plantillas!F119,Puntos_Jornada!$A$2:$A$25,0),MATCH($A119,Puntos_Jornada!$B$1:$M$1,0)),0)</f>
        <v>0</v>
      </c>
      <c r="G119" s="6">
        <f>IFERROR(INDEX(Puntos_Jornada!$B$2:$M$25,MATCH(Plantillas!G119,Puntos_Jornada!$A$2:$A$25,0),MATCH($A119,Puntos_Jornada!$B$1:$M$1,0)),0)</f>
        <v>0</v>
      </c>
      <c r="H119" s="6">
        <f>IFERROR(INDEX(Puntos_Jornada!$B$2:$M$25,MATCH(Plantillas!H119,Puntos_Jornada!$A$2:$A$25,0),MATCH($A119,Puntos_Jornada!$B$1:$M$1,0)),0)</f>
        <v>0</v>
      </c>
      <c r="I119" s="15">
        <f t="shared" si="1"/>
        <v>0</v>
      </c>
    </row>
    <row r="120" spans="1:9" x14ac:dyDescent="0.25">
      <c r="A120" s="6">
        <f>Plantillas!A120</f>
        <v>5</v>
      </c>
      <c r="B120" s="13" t="str">
        <f>Plantillas!B120</f>
        <v>Alumno 23</v>
      </c>
      <c r="C120" s="6">
        <f>IFERROR(INDEX(Puntos_Jornada!$B$2:$M$25,MATCH(Plantillas!C120,Puntos_Jornada!$A$2:$A$25,0),MATCH($A120,Puntos_Jornada!$B$1:$M$1,0)),0)</f>
        <v>0</v>
      </c>
      <c r="D120" s="6">
        <f>IFERROR(INDEX(Puntos_Jornada!$B$2:$M$25,MATCH(Plantillas!D120,Puntos_Jornada!$A$2:$A$25,0),MATCH($A120,Puntos_Jornada!$B$1:$M$1,0)),0)</f>
        <v>0</v>
      </c>
      <c r="E120" s="6">
        <f>IFERROR(INDEX(Puntos_Jornada!$B$2:$M$25,MATCH(Plantillas!E120,Puntos_Jornada!$A$2:$A$25,0),MATCH($A120,Puntos_Jornada!$B$1:$M$1,0)),0)</f>
        <v>0</v>
      </c>
      <c r="F120" s="6">
        <f>IFERROR(INDEX(Puntos_Jornada!$B$2:$M$25,MATCH(Plantillas!F120,Puntos_Jornada!$A$2:$A$25,0),MATCH($A120,Puntos_Jornada!$B$1:$M$1,0)),0)</f>
        <v>0</v>
      </c>
      <c r="G120" s="6">
        <f>IFERROR(INDEX(Puntos_Jornada!$B$2:$M$25,MATCH(Plantillas!G120,Puntos_Jornada!$A$2:$A$25,0),MATCH($A120,Puntos_Jornada!$B$1:$M$1,0)),0)</f>
        <v>0</v>
      </c>
      <c r="H120" s="6">
        <f>IFERROR(INDEX(Puntos_Jornada!$B$2:$M$25,MATCH(Plantillas!H120,Puntos_Jornada!$A$2:$A$25,0),MATCH($A120,Puntos_Jornada!$B$1:$M$1,0)),0)</f>
        <v>0</v>
      </c>
      <c r="I120" s="15">
        <f t="shared" si="1"/>
        <v>0</v>
      </c>
    </row>
    <row r="121" spans="1:9" x14ac:dyDescent="0.25">
      <c r="A121" s="6">
        <f>Plantillas!A121</f>
        <v>5</v>
      </c>
      <c r="B121" s="13" t="str">
        <f>Plantillas!B121</f>
        <v>Alumno 24</v>
      </c>
      <c r="C121" s="6">
        <f>IFERROR(INDEX(Puntos_Jornada!$B$2:$M$25,MATCH(Plantillas!C121,Puntos_Jornada!$A$2:$A$25,0),MATCH($A121,Puntos_Jornada!$B$1:$M$1,0)),0)</f>
        <v>0</v>
      </c>
      <c r="D121" s="6">
        <f>IFERROR(INDEX(Puntos_Jornada!$B$2:$M$25,MATCH(Plantillas!D121,Puntos_Jornada!$A$2:$A$25,0),MATCH($A121,Puntos_Jornada!$B$1:$M$1,0)),0)</f>
        <v>0</v>
      </c>
      <c r="E121" s="6">
        <f>IFERROR(INDEX(Puntos_Jornada!$B$2:$M$25,MATCH(Plantillas!E121,Puntos_Jornada!$A$2:$A$25,0),MATCH($A121,Puntos_Jornada!$B$1:$M$1,0)),0)</f>
        <v>0</v>
      </c>
      <c r="F121" s="6">
        <f>IFERROR(INDEX(Puntos_Jornada!$B$2:$M$25,MATCH(Plantillas!F121,Puntos_Jornada!$A$2:$A$25,0),MATCH($A121,Puntos_Jornada!$B$1:$M$1,0)),0)</f>
        <v>0</v>
      </c>
      <c r="G121" s="6">
        <f>IFERROR(INDEX(Puntos_Jornada!$B$2:$M$25,MATCH(Plantillas!G121,Puntos_Jornada!$A$2:$A$25,0),MATCH($A121,Puntos_Jornada!$B$1:$M$1,0)),0)</f>
        <v>0</v>
      </c>
      <c r="H121" s="6">
        <f>IFERROR(INDEX(Puntos_Jornada!$B$2:$M$25,MATCH(Plantillas!H121,Puntos_Jornada!$A$2:$A$25,0),MATCH($A121,Puntos_Jornada!$B$1:$M$1,0)),0)</f>
        <v>0</v>
      </c>
      <c r="I121" s="15">
        <f t="shared" si="1"/>
        <v>0</v>
      </c>
    </row>
    <row r="122" spans="1:9" x14ac:dyDescent="0.25">
      <c r="A122" s="6">
        <f>Plantillas!A122</f>
        <v>6</v>
      </c>
      <c r="B122" s="13" t="str">
        <f>Plantillas!B122</f>
        <v>Alumno 1</v>
      </c>
      <c r="C122" s="6">
        <f>IFERROR(INDEX(Puntos_Jornada!$B$2:$M$25,MATCH(Plantillas!C122,Puntos_Jornada!$A$2:$A$25,0),MATCH($A122,Puntos_Jornada!$B$1:$M$1,0)),0)</f>
        <v>0</v>
      </c>
      <c r="D122" s="6">
        <f>IFERROR(INDEX(Puntos_Jornada!$B$2:$M$25,MATCH(Plantillas!D122,Puntos_Jornada!$A$2:$A$25,0),MATCH($A122,Puntos_Jornada!$B$1:$M$1,0)),0)</f>
        <v>0</v>
      </c>
      <c r="E122" s="6">
        <f>IFERROR(INDEX(Puntos_Jornada!$B$2:$M$25,MATCH(Plantillas!E122,Puntos_Jornada!$A$2:$A$25,0),MATCH($A122,Puntos_Jornada!$B$1:$M$1,0)),0)</f>
        <v>0</v>
      </c>
      <c r="F122" s="6">
        <f>IFERROR(INDEX(Puntos_Jornada!$B$2:$M$25,MATCH(Plantillas!F122,Puntos_Jornada!$A$2:$A$25,0),MATCH($A122,Puntos_Jornada!$B$1:$M$1,0)),0)</f>
        <v>0</v>
      </c>
      <c r="G122" s="6">
        <f>IFERROR(INDEX(Puntos_Jornada!$B$2:$M$25,MATCH(Plantillas!G122,Puntos_Jornada!$A$2:$A$25,0),MATCH($A122,Puntos_Jornada!$B$1:$M$1,0)),0)</f>
        <v>0</v>
      </c>
      <c r="H122" s="6">
        <f>IFERROR(INDEX(Puntos_Jornada!$B$2:$M$25,MATCH(Plantillas!H122,Puntos_Jornada!$A$2:$A$25,0),MATCH($A122,Puntos_Jornada!$B$1:$M$1,0)),0)</f>
        <v>0</v>
      </c>
      <c r="I122" s="15">
        <f t="shared" si="1"/>
        <v>0</v>
      </c>
    </row>
    <row r="123" spans="1:9" x14ac:dyDescent="0.25">
      <c r="A123" s="6">
        <f>Plantillas!A123</f>
        <v>6</v>
      </c>
      <c r="B123" s="13" t="str">
        <f>Plantillas!B123</f>
        <v>Alumno 2</v>
      </c>
      <c r="C123" s="6">
        <f>IFERROR(INDEX(Puntos_Jornada!$B$2:$M$25,MATCH(Plantillas!C123,Puntos_Jornada!$A$2:$A$25,0),MATCH($A123,Puntos_Jornada!$B$1:$M$1,0)),0)</f>
        <v>0</v>
      </c>
      <c r="D123" s="6">
        <f>IFERROR(INDEX(Puntos_Jornada!$B$2:$M$25,MATCH(Plantillas!D123,Puntos_Jornada!$A$2:$A$25,0),MATCH($A123,Puntos_Jornada!$B$1:$M$1,0)),0)</f>
        <v>0</v>
      </c>
      <c r="E123" s="6">
        <f>IFERROR(INDEX(Puntos_Jornada!$B$2:$M$25,MATCH(Plantillas!E123,Puntos_Jornada!$A$2:$A$25,0),MATCH($A123,Puntos_Jornada!$B$1:$M$1,0)),0)</f>
        <v>0</v>
      </c>
      <c r="F123" s="6">
        <f>IFERROR(INDEX(Puntos_Jornada!$B$2:$M$25,MATCH(Plantillas!F123,Puntos_Jornada!$A$2:$A$25,0),MATCH($A123,Puntos_Jornada!$B$1:$M$1,0)),0)</f>
        <v>0</v>
      </c>
      <c r="G123" s="6">
        <f>IFERROR(INDEX(Puntos_Jornada!$B$2:$M$25,MATCH(Plantillas!G123,Puntos_Jornada!$A$2:$A$25,0),MATCH($A123,Puntos_Jornada!$B$1:$M$1,0)),0)</f>
        <v>0</v>
      </c>
      <c r="H123" s="6">
        <f>IFERROR(INDEX(Puntos_Jornada!$B$2:$M$25,MATCH(Plantillas!H123,Puntos_Jornada!$A$2:$A$25,0),MATCH($A123,Puntos_Jornada!$B$1:$M$1,0)),0)</f>
        <v>0</v>
      </c>
      <c r="I123" s="15">
        <f t="shared" si="1"/>
        <v>0</v>
      </c>
    </row>
    <row r="124" spans="1:9" x14ac:dyDescent="0.25">
      <c r="A124" s="6">
        <f>Plantillas!A124</f>
        <v>6</v>
      </c>
      <c r="B124" s="13" t="str">
        <f>Plantillas!B124</f>
        <v>Alumno 3</v>
      </c>
      <c r="C124" s="6">
        <f>IFERROR(INDEX(Puntos_Jornada!$B$2:$M$25,MATCH(Plantillas!C124,Puntos_Jornada!$A$2:$A$25,0),MATCH($A124,Puntos_Jornada!$B$1:$M$1,0)),0)</f>
        <v>0</v>
      </c>
      <c r="D124" s="6">
        <f>IFERROR(INDEX(Puntos_Jornada!$B$2:$M$25,MATCH(Plantillas!D124,Puntos_Jornada!$A$2:$A$25,0),MATCH($A124,Puntos_Jornada!$B$1:$M$1,0)),0)</f>
        <v>0</v>
      </c>
      <c r="E124" s="6">
        <f>IFERROR(INDEX(Puntos_Jornada!$B$2:$M$25,MATCH(Plantillas!E124,Puntos_Jornada!$A$2:$A$25,0),MATCH($A124,Puntos_Jornada!$B$1:$M$1,0)),0)</f>
        <v>0</v>
      </c>
      <c r="F124" s="6">
        <f>IFERROR(INDEX(Puntos_Jornada!$B$2:$M$25,MATCH(Plantillas!F124,Puntos_Jornada!$A$2:$A$25,0),MATCH($A124,Puntos_Jornada!$B$1:$M$1,0)),0)</f>
        <v>0</v>
      </c>
      <c r="G124" s="6">
        <f>IFERROR(INDEX(Puntos_Jornada!$B$2:$M$25,MATCH(Plantillas!G124,Puntos_Jornada!$A$2:$A$25,0),MATCH($A124,Puntos_Jornada!$B$1:$M$1,0)),0)</f>
        <v>0</v>
      </c>
      <c r="H124" s="6">
        <f>IFERROR(INDEX(Puntos_Jornada!$B$2:$M$25,MATCH(Plantillas!H124,Puntos_Jornada!$A$2:$A$25,0),MATCH($A124,Puntos_Jornada!$B$1:$M$1,0)),0)</f>
        <v>0</v>
      </c>
      <c r="I124" s="15">
        <f t="shared" si="1"/>
        <v>0</v>
      </c>
    </row>
    <row r="125" spans="1:9" x14ac:dyDescent="0.25">
      <c r="A125" s="6">
        <f>Plantillas!A125</f>
        <v>6</v>
      </c>
      <c r="B125" s="13" t="str">
        <f>Plantillas!B125</f>
        <v>Alumno 4</v>
      </c>
      <c r="C125" s="6">
        <f>IFERROR(INDEX(Puntos_Jornada!$B$2:$M$25,MATCH(Plantillas!C125,Puntos_Jornada!$A$2:$A$25,0),MATCH($A125,Puntos_Jornada!$B$1:$M$1,0)),0)</f>
        <v>0</v>
      </c>
      <c r="D125" s="6">
        <f>IFERROR(INDEX(Puntos_Jornada!$B$2:$M$25,MATCH(Plantillas!D125,Puntos_Jornada!$A$2:$A$25,0),MATCH($A125,Puntos_Jornada!$B$1:$M$1,0)),0)</f>
        <v>0</v>
      </c>
      <c r="E125" s="6">
        <f>IFERROR(INDEX(Puntos_Jornada!$B$2:$M$25,MATCH(Plantillas!E125,Puntos_Jornada!$A$2:$A$25,0),MATCH($A125,Puntos_Jornada!$B$1:$M$1,0)),0)</f>
        <v>0</v>
      </c>
      <c r="F125" s="6">
        <f>IFERROR(INDEX(Puntos_Jornada!$B$2:$M$25,MATCH(Plantillas!F125,Puntos_Jornada!$A$2:$A$25,0),MATCH($A125,Puntos_Jornada!$B$1:$M$1,0)),0)</f>
        <v>0</v>
      </c>
      <c r="G125" s="6">
        <f>IFERROR(INDEX(Puntos_Jornada!$B$2:$M$25,MATCH(Plantillas!G125,Puntos_Jornada!$A$2:$A$25,0),MATCH($A125,Puntos_Jornada!$B$1:$M$1,0)),0)</f>
        <v>0</v>
      </c>
      <c r="H125" s="6">
        <f>IFERROR(INDEX(Puntos_Jornada!$B$2:$M$25,MATCH(Plantillas!H125,Puntos_Jornada!$A$2:$A$25,0),MATCH($A125,Puntos_Jornada!$B$1:$M$1,0)),0)</f>
        <v>0</v>
      </c>
      <c r="I125" s="15">
        <f t="shared" si="1"/>
        <v>0</v>
      </c>
    </row>
    <row r="126" spans="1:9" x14ac:dyDescent="0.25">
      <c r="A126" s="6">
        <f>Plantillas!A126</f>
        <v>6</v>
      </c>
      <c r="B126" s="13" t="str">
        <f>Plantillas!B126</f>
        <v>Alumno 5</v>
      </c>
      <c r="C126" s="6">
        <f>IFERROR(INDEX(Puntos_Jornada!$B$2:$M$25,MATCH(Plantillas!C126,Puntos_Jornada!$A$2:$A$25,0),MATCH($A126,Puntos_Jornada!$B$1:$M$1,0)),0)</f>
        <v>0</v>
      </c>
      <c r="D126" s="6">
        <f>IFERROR(INDEX(Puntos_Jornada!$B$2:$M$25,MATCH(Plantillas!D126,Puntos_Jornada!$A$2:$A$25,0),MATCH($A126,Puntos_Jornada!$B$1:$M$1,0)),0)</f>
        <v>0</v>
      </c>
      <c r="E126" s="6">
        <f>IFERROR(INDEX(Puntos_Jornada!$B$2:$M$25,MATCH(Plantillas!E126,Puntos_Jornada!$A$2:$A$25,0),MATCH($A126,Puntos_Jornada!$B$1:$M$1,0)),0)</f>
        <v>0</v>
      </c>
      <c r="F126" s="6">
        <f>IFERROR(INDEX(Puntos_Jornada!$B$2:$M$25,MATCH(Plantillas!F126,Puntos_Jornada!$A$2:$A$25,0),MATCH($A126,Puntos_Jornada!$B$1:$M$1,0)),0)</f>
        <v>0</v>
      </c>
      <c r="G126" s="6">
        <f>IFERROR(INDEX(Puntos_Jornada!$B$2:$M$25,MATCH(Plantillas!G126,Puntos_Jornada!$A$2:$A$25,0),MATCH($A126,Puntos_Jornada!$B$1:$M$1,0)),0)</f>
        <v>0</v>
      </c>
      <c r="H126" s="6">
        <f>IFERROR(INDEX(Puntos_Jornada!$B$2:$M$25,MATCH(Plantillas!H126,Puntos_Jornada!$A$2:$A$25,0),MATCH($A126,Puntos_Jornada!$B$1:$M$1,0)),0)</f>
        <v>0</v>
      </c>
      <c r="I126" s="15">
        <f t="shared" si="1"/>
        <v>0</v>
      </c>
    </row>
    <row r="127" spans="1:9" x14ac:dyDescent="0.25">
      <c r="A127" s="6">
        <f>Plantillas!A127</f>
        <v>6</v>
      </c>
      <c r="B127" s="13" t="str">
        <f>Plantillas!B127</f>
        <v>Alumno 6</v>
      </c>
      <c r="C127" s="6">
        <f>IFERROR(INDEX(Puntos_Jornada!$B$2:$M$25,MATCH(Plantillas!C127,Puntos_Jornada!$A$2:$A$25,0),MATCH($A127,Puntos_Jornada!$B$1:$M$1,0)),0)</f>
        <v>0</v>
      </c>
      <c r="D127" s="6">
        <f>IFERROR(INDEX(Puntos_Jornada!$B$2:$M$25,MATCH(Plantillas!D127,Puntos_Jornada!$A$2:$A$25,0),MATCH($A127,Puntos_Jornada!$B$1:$M$1,0)),0)</f>
        <v>0</v>
      </c>
      <c r="E127" s="6">
        <f>IFERROR(INDEX(Puntos_Jornada!$B$2:$M$25,MATCH(Plantillas!E127,Puntos_Jornada!$A$2:$A$25,0),MATCH($A127,Puntos_Jornada!$B$1:$M$1,0)),0)</f>
        <v>0</v>
      </c>
      <c r="F127" s="6">
        <f>IFERROR(INDEX(Puntos_Jornada!$B$2:$M$25,MATCH(Plantillas!F127,Puntos_Jornada!$A$2:$A$25,0),MATCH($A127,Puntos_Jornada!$B$1:$M$1,0)),0)</f>
        <v>0</v>
      </c>
      <c r="G127" s="6">
        <f>IFERROR(INDEX(Puntos_Jornada!$B$2:$M$25,MATCH(Plantillas!G127,Puntos_Jornada!$A$2:$A$25,0),MATCH($A127,Puntos_Jornada!$B$1:$M$1,0)),0)</f>
        <v>0</v>
      </c>
      <c r="H127" s="6">
        <f>IFERROR(INDEX(Puntos_Jornada!$B$2:$M$25,MATCH(Plantillas!H127,Puntos_Jornada!$A$2:$A$25,0),MATCH($A127,Puntos_Jornada!$B$1:$M$1,0)),0)</f>
        <v>0</v>
      </c>
      <c r="I127" s="15">
        <f t="shared" si="1"/>
        <v>0</v>
      </c>
    </row>
    <row r="128" spans="1:9" x14ac:dyDescent="0.25">
      <c r="A128" s="6">
        <f>Plantillas!A128</f>
        <v>6</v>
      </c>
      <c r="B128" s="13" t="str">
        <f>Plantillas!B128</f>
        <v>Alumno 7</v>
      </c>
      <c r="C128" s="6">
        <f>IFERROR(INDEX(Puntos_Jornada!$B$2:$M$25,MATCH(Plantillas!C128,Puntos_Jornada!$A$2:$A$25,0),MATCH($A128,Puntos_Jornada!$B$1:$M$1,0)),0)</f>
        <v>0</v>
      </c>
      <c r="D128" s="6">
        <f>IFERROR(INDEX(Puntos_Jornada!$B$2:$M$25,MATCH(Plantillas!D128,Puntos_Jornada!$A$2:$A$25,0),MATCH($A128,Puntos_Jornada!$B$1:$M$1,0)),0)</f>
        <v>0</v>
      </c>
      <c r="E128" s="6">
        <f>IFERROR(INDEX(Puntos_Jornada!$B$2:$M$25,MATCH(Plantillas!E128,Puntos_Jornada!$A$2:$A$25,0),MATCH($A128,Puntos_Jornada!$B$1:$M$1,0)),0)</f>
        <v>0</v>
      </c>
      <c r="F128" s="6">
        <f>IFERROR(INDEX(Puntos_Jornada!$B$2:$M$25,MATCH(Plantillas!F128,Puntos_Jornada!$A$2:$A$25,0),MATCH($A128,Puntos_Jornada!$B$1:$M$1,0)),0)</f>
        <v>0</v>
      </c>
      <c r="G128" s="6">
        <f>IFERROR(INDEX(Puntos_Jornada!$B$2:$M$25,MATCH(Plantillas!G128,Puntos_Jornada!$A$2:$A$25,0),MATCH($A128,Puntos_Jornada!$B$1:$M$1,0)),0)</f>
        <v>0</v>
      </c>
      <c r="H128" s="6">
        <f>IFERROR(INDEX(Puntos_Jornada!$B$2:$M$25,MATCH(Plantillas!H128,Puntos_Jornada!$A$2:$A$25,0),MATCH($A128,Puntos_Jornada!$B$1:$M$1,0)),0)</f>
        <v>0</v>
      </c>
      <c r="I128" s="15">
        <f t="shared" si="1"/>
        <v>0</v>
      </c>
    </row>
    <row r="129" spans="1:9" x14ac:dyDescent="0.25">
      <c r="A129" s="6">
        <f>Plantillas!A129</f>
        <v>6</v>
      </c>
      <c r="B129" s="13" t="str">
        <f>Plantillas!B129</f>
        <v>Alumno 8</v>
      </c>
      <c r="C129" s="6">
        <f>IFERROR(INDEX(Puntos_Jornada!$B$2:$M$25,MATCH(Plantillas!C129,Puntos_Jornada!$A$2:$A$25,0),MATCH($A129,Puntos_Jornada!$B$1:$M$1,0)),0)</f>
        <v>0</v>
      </c>
      <c r="D129" s="6">
        <f>IFERROR(INDEX(Puntos_Jornada!$B$2:$M$25,MATCH(Plantillas!D129,Puntos_Jornada!$A$2:$A$25,0),MATCH($A129,Puntos_Jornada!$B$1:$M$1,0)),0)</f>
        <v>0</v>
      </c>
      <c r="E129" s="6">
        <f>IFERROR(INDEX(Puntos_Jornada!$B$2:$M$25,MATCH(Plantillas!E129,Puntos_Jornada!$A$2:$A$25,0),MATCH($A129,Puntos_Jornada!$B$1:$M$1,0)),0)</f>
        <v>0</v>
      </c>
      <c r="F129" s="6">
        <f>IFERROR(INDEX(Puntos_Jornada!$B$2:$M$25,MATCH(Plantillas!F129,Puntos_Jornada!$A$2:$A$25,0),MATCH($A129,Puntos_Jornada!$B$1:$M$1,0)),0)</f>
        <v>0</v>
      </c>
      <c r="G129" s="6">
        <f>IFERROR(INDEX(Puntos_Jornada!$B$2:$M$25,MATCH(Plantillas!G129,Puntos_Jornada!$A$2:$A$25,0),MATCH($A129,Puntos_Jornada!$B$1:$M$1,0)),0)</f>
        <v>0</v>
      </c>
      <c r="H129" s="6">
        <f>IFERROR(INDEX(Puntos_Jornada!$B$2:$M$25,MATCH(Plantillas!H129,Puntos_Jornada!$A$2:$A$25,0),MATCH($A129,Puntos_Jornada!$B$1:$M$1,0)),0)</f>
        <v>0</v>
      </c>
      <c r="I129" s="15">
        <f t="shared" si="1"/>
        <v>0</v>
      </c>
    </row>
    <row r="130" spans="1:9" x14ac:dyDescent="0.25">
      <c r="A130" s="6">
        <f>Plantillas!A130</f>
        <v>6</v>
      </c>
      <c r="B130" s="13" t="str">
        <f>Plantillas!B130</f>
        <v>Alumno 9</v>
      </c>
      <c r="C130" s="6">
        <f>IFERROR(INDEX(Puntos_Jornada!$B$2:$M$25,MATCH(Plantillas!C130,Puntos_Jornada!$A$2:$A$25,0),MATCH($A130,Puntos_Jornada!$B$1:$M$1,0)),0)</f>
        <v>0</v>
      </c>
      <c r="D130" s="6">
        <f>IFERROR(INDEX(Puntos_Jornada!$B$2:$M$25,MATCH(Plantillas!D130,Puntos_Jornada!$A$2:$A$25,0),MATCH($A130,Puntos_Jornada!$B$1:$M$1,0)),0)</f>
        <v>0</v>
      </c>
      <c r="E130" s="6">
        <f>IFERROR(INDEX(Puntos_Jornada!$B$2:$M$25,MATCH(Plantillas!E130,Puntos_Jornada!$A$2:$A$25,0),MATCH($A130,Puntos_Jornada!$B$1:$M$1,0)),0)</f>
        <v>0</v>
      </c>
      <c r="F130" s="6">
        <f>IFERROR(INDEX(Puntos_Jornada!$B$2:$M$25,MATCH(Plantillas!F130,Puntos_Jornada!$A$2:$A$25,0),MATCH($A130,Puntos_Jornada!$B$1:$M$1,0)),0)</f>
        <v>0</v>
      </c>
      <c r="G130" s="6">
        <f>IFERROR(INDEX(Puntos_Jornada!$B$2:$M$25,MATCH(Plantillas!G130,Puntos_Jornada!$A$2:$A$25,0),MATCH($A130,Puntos_Jornada!$B$1:$M$1,0)),0)</f>
        <v>0</v>
      </c>
      <c r="H130" s="6">
        <f>IFERROR(INDEX(Puntos_Jornada!$B$2:$M$25,MATCH(Plantillas!H130,Puntos_Jornada!$A$2:$A$25,0),MATCH($A130,Puntos_Jornada!$B$1:$M$1,0)),0)</f>
        <v>0</v>
      </c>
      <c r="I130" s="15">
        <f t="shared" ref="I130:I193" si="2">SUM(C130:G130)+H130</f>
        <v>0</v>
      </c>
    </row>
    <row r="131" spans="1:9" x14ac:dyDescent="0.25">
      <c r="A131" s="6">
        <f>Plantillas!A131</f>
        <v>6</v>
      </c>
      <c r="B131" s="13" t="str">
        <f>Plantillas!B131</f>
        <v>Alumno 10</v>
      </c>
      <c r="C131" s="6">
        <f>IFERROR(INDEX(Puntos_Jornada!$B$2:$M$25,MATCH(Plantillas!C131,Puntos_Jornada!$A$2:$A$25,0),MATCH($A131,Puntos_Jornada!$B$1:$M$1,0)),0)</f>
        <v>0</v>
      </c>
      <c r="D131" s="6">
        <f>IFERROR(INDEX(Puntos_Jornada!$B$2:$M$25,MATCH(Plantillas!D131,Puntos_Jornada!$A$2:$A$25,0),MATCH($A131,Puntos_Jornada!$B$1:$M$1,0)),0)</f>
        <v>0</v>
      </c>
      <c r="E131" s="6">
        <f>IFERROR(INDEX(Puntos_Jornada!$B$2:$M$25,MATCH(Plantillas!E131,Puntos_Jornada!$A$2:$A$25,0),MATCH($A131,Puntos_Jornada!$B$1:$M$1,0)),0)</f>
        <v>0</v>
      </c>
      <c r="F131" s="6">
        <f>IFERROR(INDEX(Puntos_Jornada!$B$2:$M$25,MATCH(Plantillas!F131,Puntos_Jornada!$A$2:$A$25,0),MATCH($A131,Puntos_Jornada!$B$1:$M$1,0)),0)</f>
        <v>0</v>
      </c>
      <c r="G131" s="6">
        <f>IFERROR(INDEX(Puntos_Jornada!$B$2:$M$25,MATCH(Plantillas!G131,Puntos_Jornada!$A$2:$A$25,0),MATCH($A131,Puntos_Jornada!$B$1:$M$1,0)),0)</f>
        <v>0</v>
      </c>
      <c r="H131" s="6">
        <f>IFERROR(INDEX(Puntos_Jornada!$B$2:$M$25,MATCH(Plantillas!H131,Puntos_Jornada!$A$2:$A$25,0),MATCH($A131,Puntos_Jornada!$B$1:$M$1,0)),0)</f>
        <v>0</v>
      </c>
      <c r="I131" s="15">
        <f t="shared" si="2"/>
        <v>0</v>
      </c>
    </row>
    <row r="132" spans="1:9" x14ac:dyDescent="0.25">
      <c r="A132" s="6">
        <f>Plantillas!A132</f>
        <v>6</v>
      </c>
      <c r="B132" s="13" t="str">
        <f>Plantillas!B132</f>
        <v>Alumno 11</v>
      </c>
      <c r="C132" s="6">
        <f>IFERROR(INDEX(Puntos_Jornada!$B$2:$M$25,MATCH(Plantillas!C132,Puntos_Jornada!$A$2:$A$25,0),MATCH($A132,Puntos_Jornada!$B$1:$M$1,0)),0)</f>
        <v>0</v>
      </c>
      <c r="D132" s="6">
        <f>IFERROR(INDEX(Puntos_Jornada!$B$2:$M$25,MATCH(Plantillas!D132,Puntos_Jornada!$A$2:$A$25,0),MATCH($A132,Puntos_Jornada!$B$1:$M$1,0)),0)</f>
        <v>0</v>
      </c>
      <c r="E132" s="6">
        <f>IFERROR(INDEX(Puntos_Jornada!$B$2:$M$25,MATCH(Plantillas!E132,Puntos_Jornada!$A$2:$A$25,0),MATCH($A132,Puntos_Jornada!$B$1:$M$1,0)),0)</f>
        <v>0</v>
      </c>
      <c r="F132" s="6">
        <f>IFERROR(INDEX(Puntos_Jornada!$B$2:$M$25,MATCH(Plantillas!F132,Puntos_Jornada!$A$2:$A$25,0),MATCH($A132,Puntos_Jornada!$B$1:$M$1,0)),0)</f>
        <v>0</v>
      </c>
      <c r="G132" s="6">
        <f>IFERROR(INDEX(Puntos_Jornada!$B$2:$M$25,MATCH(Plantillas!G132,Puntos_Jornada!$A$2:$A$25,0),MATCH($A132,Puntos_Jornada!$B$1:$M$1,0)),0)</f>
        <v>0</v>
      </c>
      <c r="H132" s="6">
        <f>IFERROR(INDEX(Puntos_Jornada!$B$2:$M$25,MATCH(Plantillas!H132,Puntos_Jornada!$A$2:$A$25,0),MATCH($A132,Puntos_Jornada!$B$1:$M$1,0)),0)</f>
        <v>0</v>
      </c>
      <c r="I132" s="15">
        <f t="shared" si="2"/>
        <v>0</v>
      </c>
    </row>
    <row r="133" spans="1:9" x14ac:dyDescent="0.25">
      <c r="A133" s="6">
        <f>Plantillas!A133</f>
        <v>6</v>
      </c>
      <c r="B133" s="13" t="str">
        <f>Plantillas!B133</f>
        <v>Alumno 12</v>
      </c>
      <c r="C133" s="6">
        <f>IFERROR(INDEX(Puntos_Jornada!$B$2:$M$25,MATCH(Plantillas!C133,Puntos_Jornada!$A$2:$A$25,0),MATCH($A133,Puntos_Jornada!$B$1:$M$1,0)),0)</f>
        <v>0</v>
      </c>
      <c r="D133" s="6">
        <f>IFERROR(INDEX(Puntos_Jornada!$B$2:$M$25,MATCH(Plantillas!D133,Puntos_Jornada!$A$2:$A$25,0),MATCH($A133,Puntos_Jornada!$B$1:$M$1,0)),0)</f>
        <v>0</v>
      </c>
      <c r="E133" s="6">
        <f>IFERROR(INDEX(Puntos_Jornada!$B$2:$M$25,MATCH(Plantillas!E133,Puntos_Jornada!$A$2:$A$25,0),MATCH($A133,Puntos_Jornada!$B$1:$M$1,0)),0)</f>
        <v>0</v>
      </c>
      <c r="F133" s="6">
        <f>IFERROR(INDEX(Puntos_Jornada!$B$2:$M$25,MATCH(Plantillas!F133,Puntos_Jornada!$A$2:$A$25,0),MATCH($A133,Puntos_Jornada!$B$1:$M$1,0)),0)</f>
        <v>0</v>
      </c>
      <c r="G133" s="6">
        <f>IFERROR(INDEX(Puntos_Jornada!$B$2:$M$25,MATCH(Plantillas!G133,Puntos_Jornada!$A$2:$A$25,0),MATCH($A133,Puntos_Jornada!$B$1:$M$1,0)),0)</f>
        <v>0</v>
      </c>
      <c r="H133" s="6">
        <f>IFERROR(INDEX(Puntos_Jornada!$B$2:$M$25,MATCH(Plantillas!H133,Puntos_Jornada!$A$2:$A$25,0),MATCH($A133,Puntos_Jornada!$B$1:$M$1,0)),0)</f>
        <v>0</v>
      </c>
      <c r="I133" s="15">
        <f t="shared" si="2"/>
        <v>0</v>
      </c>
    </row>
    <row r="134" spans="1:9" x14ac:dyDescent="0.25">
      <c r="A134" s="6">
        <f>Plantillas!A134</f>
        <v>6</v>
      </c>
      <c r="B134" s="13" t="str">
        <f>Plantillas!B134</f>
        <v>Alumno 13</v>
      </c>
      <c r="C134" s="6">
        <f>IFERROR(INDEX(Puntos_Jornada!$B$2:$M$25,MATCH(Plantillas!C134,Puntos_Jornada!$A$2:$A$25,0),MATCH($A134,Puntos_Jornada!$B$1:$M$1,0)),0)</f>
        <v>0</v>
      </c>
      <c r="D134" s="6">
        <f>IFERROR(INDEX(Puntos_Jornada!$B$2:$M$25,MATCH(Plantillas!D134,Puntos_Jornada!$A$2:$A$25,0),MATCH($A134,Puntos_Jornada!$B$1:$M$1,0)),0)</f>
        <v>0</v>
      </c>
      <c r="E134" s="6">
        <f>IFERROR(INDEX(Puntos_Jornada!$B$2:$M$25,MATCH(Plantillas!E134,Puntos_Jornada!$A$2:$A$25,0),MATCH($A134,Puntos_Jornada!$B$1:$M$1,0)),0)</f>
        <v>0</v>
      </c>
      <c r="F134" s="6">
        <f>IFERROR(INDEX(Puntos_Jornada!$B$2:$M$25,MATCH(Plantillas!F134,Puntos_Jornada!$A$2:$A$25,0),MATCH($A134,Puntos_Jornada!$B$1:$M$1,0)),0)</f>
        <v>0</v>
      </c>
      <c r="G134" s="6">
        <f>IFERROR(INDEX(Puntos_Jornada!$B$2:$M$25,MATCH(Plantillas!G134,Puntos_Jornada!$A$2:$A$25,0),MATCH($A134,Puntos_Jornada!$B$1:$M$1,0)),0)</f>
        <v>0</v>
      </c>
      <c r="H134" s="6">
        <f>IFERROR(INDEX(Puntos_Jornada!$B$2:$M$25,MATCH(Plantillas!H134,Puntos_Jornada!$A$2:$A$25,0),MATCH($A134,Puntos_Jornada!$B$1:$M$1,0)),0)</f>
        <v>0</v>
      </c>
      <c r="I134" s="15">
        <f t="shared" si="2"/>
        <v>0</v>
      </c>
    </row>
    <row r="135" spans="1:9" x14ac:dyDescent="0.25">
      <c r="A135" s="6">
        <f>Plantillas!A135</f>
        <v>6</v>
      </c>
      <c r="B135" s="13" t="str">
        <f>Plantillas!B135</f>
        <v>Alumno 14</v>
      </c>
      <c r="C135" s="6">
        <f>IFERROR(INDEX(Puntos_Jornada!$B$2:$M$25,MATCH(Plantillas!C135,Puntos_Jornada!$A$2:$A$25,0),MATCH($A135,Puntos_Jornada!$B$1:$M$1,0)),0)</f>
        <v>0</v>
      </c>
      <c r="D135" s="6">
        <f>IFERROR(INDEX(Puntos_Jornada!$B$2:$M$25,MATCH(Plantillas!D135,Puntos_Jornada!$A$2:$A$25,0),MATCH($A135,Puntos_Jornada!$B$1:$M$1,0)),0)</f>
        <v>0</v>
      </c>
      <c r="E135" s="6">
        <f>IFERROR(INDEX(Puntos_Jornada!$B$2:$M$25,MATCH(Plantillas!E135,Puntos_Jornada!$A$2:$A$25,0),MATCH($A135,Puntos_Jornada!$B$1:$M$1,0)),0)</f>
        <v>0</v>
      </c>
      <c r="F135" s="6">
        <f>IFERROR(INDEX(Puntos_Jornada!$B$2:$M$25,MATCH(Plantillas!F135,Puntos_Jornada!$A$2:$A$25,0),MATCH($A135,Puntos_Jornada!$B$1:$M$1,0)),0)</f>
        <v>0</v>
      </c>
      <c r="G135" s="6">
        <f>IFERROR(INDEX(Puntos_Jornada!$B$2:$M$25,MATCH(Plantillas!G135,Puntos_Jornada!$A$2:$A$25,0),MATCH($A135,Puntos_Jornada!$B$1:$M$1,0)),0)</f>
        <v>0</v>
      </c>
      <c r="H135" s="6">
        <f>IFERROR(INDEX(Puntos_Jornada!$B$2:$M$25,MATCH(Plantillas!H135,Puntos_Jornada!$A$2:$A$25,0),MATCH($A135,Puntos_Jornada!$B$1:$M$1,0)),0)</f>
        <v>0</v>
      </c>
      <c r="I135" s="15">
        <f t="shared" si="2"/>
        <v>0</v>
      </c>
    </row>
    <row r="136" spans="1:9" x14ac:dyDescent="0.25">
      <c r="A136" s="6">
        <f>Plantillas!A136</f>
        <v>6</v>
      </c>
      <c r="B136" s="13" t="str">
        <f>Plantillas!B136</f>
        <v>Alumno 15</v>
      </c>
      <c r="C136" s="6">
        <f>IFERROR(INDEX(Puntos_Jornada!$B$2:$M$25,MATCH(Plantillas!C136,Puntos_Jornada!$A$2:$A$25,0),MATCH($A136,Puntos_Jornada!$B$1:$M$1,0)),0)</f>
        <v>0</v>
      </c>
      <c r="D136" s="6">
        <f>IFERROR(INDEX(Puntos_Jornada!$B$2:$M$25,MATCH(Plantillas!D136,Puntos_Jornada!$A$2:$A$25,0),MATCH($A136,Puntos_Jornada!$B$1:$M$1,0)),0)</f>
        <v>0</v>
      </c>
      <c r="E136" s="6">
        <f>IFERROR(INDEX(Puntos_Jornada!$B$2:$M$25,MATCH(Plantillas!E136,Puntos_Jornada!$A$2:$A$25,0),MATCH($A136,Puntos_Jornada!$B$1:$M$1,0)),0)</f>
        <v>0</v>
      </c>
      <c r="F136" s="6">
        <f>IFERROR(INDEX(Puntos_Jornada!$B$2:$M$25,MATCH(Plantillas!F136,Puntos_Jornada!$A$2:$A$25,0),MATCH($A136,Puntos_Jornada!$B$1:$M$1,0)),0)</f>
        <v>0</v>
      </c>
      <c r="G136" s="6">
        <f>IFERROR(INDEX(Puntos_Jornada!$B$2:$M$25,MATCH(Plantillas!G136,Puntos_Jornada!$A$2:$A$25,0),MATCH($A136,Puntos_Jornada!$B$1:$M$1,0)),0)</f>
        <v>0</v>
      </c>
      <c r="H136" s="6">
        <f>IFERROR(INDEX(Puntos_Jornada!$B$2:$M$25,MATCH(Plantillas!H136,Puntos_Jornada!$A$2:$A$25,0),MATCH($A136,Puntos_Jornada!$B$1:$M$1,0)),0)</f>
        <v>0</v>
      </c>
      <c r="I136" s="15">
        <f t="shared" si="2"/>
        <v>0</v>
      </c>
    </row>
    <row r="137" spans="1:9" x14ac:dyDescent="0.25">
      <c r="A137" s="6">
        <f>Plantillas!A137</f>
        <v>6</v>
      </c>
      <c r="B137" s="13" t="str">
        <f>Plantillas!B137</f>
        <v>Alumno 16</v>
      </c>
      <c r="C137" s="6">
        <f>IFERROR(INDEX(Puntos_Jornada!$B$2:$M$25,MATCH(Plantillas!C137,Puntos_Jornada!$A$2:$A$25,0),MATCH($A137,Puntos_Jornada!$B$1:$M$1,0)),0)</f>
        <v>0</v>
      </c>
      <c r="D137" s="6">
        <f>IFERROR(INDEX(Puntos_Jornada!$B$2:$M$25,MATCH(Plantillas!D137,Puntos_Jornada!$A$2:$A$25,0),MATCH($A137,Puntos_Jornada!$B$1:$M$1,0)),0)</f>
        <v>0</v>
      </c>
      <c r="E137" s="6">
        <f>IFERROR(INDEX(Puntos_Jornada!$B$2:$M$25,MATCH(Plantillas!E137,Puntos_Jornada!$A$2:$A$25,0),MATCH($A137,Puntos_Jornada!$B$1:$M$1,0)),0)</f>
        <v>0</v>
      </c>
      <c r="F137" s="6">
        <f>IFERROR(INDEX(Puntos_Jornada!$B$2:$M$25,MATCH(Plantillas!F137,Puntos_Jornada!$A$2:$A$25,0),MATCH($A137,Puntos_Jornada!$B$1:$M$1,0)),0)</f>
        <v>0</v>
      </c>
      <c r="G137" s="6">
        <f>IFERROR(INDEX(Puntos_Jornada!$B$2:$M$25,MATCH(Plantillas!G137,Puntos_Jornada!$A$2:$A$25,0),MATCH($A137,Puntos_Jornada!$B$1:$M$1,0)),0)</f>
        <v>0</v>
      </c>
      <c r="H137" s="6">
        <f>IFERROR(INDEX(Puntos_Jornada!$B$2:$M$25,MATCH(Plantillas!H137,Puntos_Jornada!$A$2:$A$25,0),MATCH($A137,Puntos_Jornada!$B$1:$M$1,0)),0)</f>
        <v>0</v>
      </c>
      <c r="I137" s="15">
        <f t="shared" si="2"/>
        <v>0</v>
      </c>
    </row>
    <row r="138" spans="1:9" x14ac:dyDescent="0.25">
      <c r="A138" s="6">
        <f>Plantillas!A138</f>
        <v>6</v>
      </c>
      <c r="B138" s="13" t="str">
        <f>Plantillas!B138</f>
        <v>Alumno 17</v>
      </c>
      <c r="C138" s="6">
        <f>IFERROR(INDEX(Puntos_Jornada!$B$2:$M$25,MATCH(Plantillas!C138,Puntos_Jornada!$A$2:$A$25,0),MATCH($A138,Puntos_Jornada!$B$1:$M$1,0)),0)</f>
        <v>0</v>
      </c>
      <c r="D138" s="6">
        <f>IFERROR(INDEX(Puntos_Jornada!$B$2:$M$25,MATCH(Plantillas!D138,Puntos_Jornada!$A$2:$A$25,0),MATCH($A138,Puntos_Jornada!$B$1:$M$1,0)),0)</f>
        <v>0</v>
      </c>
      <c r="E138" s="6">
        <f>IFERROR(INDEX(Puntos_Jornada!$B$2:$M$25,MATCH(Plantillas!E138,Puntos_Jornada!$A$2:$A$25,0),MATCH($A138,Puntos_Jornada!$B$1:$M$1,0)),0)</f>
        <v>0</v>
      </c>
      <c r="F138" s="6">
        <f>IFERROR(INDEX(Puntos_Jornada!$B$2:$M$25,MATCH(Plantillas!F138,Puntos_Jornada!$A$2:$A$25,0),MATCH($A138,Puntos_Jornada!$B$1:$M$1,0)),0)</f>
        <v>0</v>
      </c>
      <c r="G138" s="6">
        <f>IFERROR(INDEX(Puntos_Jornada!$B$2:$M$25,MATCH(Plantillas!G138,Puntos_Jornada!$A$2:$A$25,0),MATCH($A138,Puntos_Jornada!$B$1:$M$1,0)),0)</f>
        <v>0</v>
      </c>
      <c r="H138" s="6">
        <f>IFERROR(INDEX(Puntos_Jornada!$B$2:$M$25,MATCH(Plantillas!H138,Puntos_Jornada!$A$2:$A$25,0),MATCH($A138,Puntos_Jornada!$B$1:$M$1,0)),0)</f>
        <v>0</v>
      </c>
      <c r="I138" s="15">
        <f t="shared" si="2"/>
        <v>0</v>
      </c>
    </row>
    <row r="139" spans="1:9" x14ac:dyDescent="0.25">
      <c r="A139" s="6">
        <f>Plantillas!A139</f>
        <v>6</v>
      </c>
      <c r="B139" s="13" t="str">
        <f>Plantillas!B139</f>
        <v>Alumno 18</v>
      </c>
      <c r="C139" s="6">
        <f>IFERROR(INDEX(Puntos_Jornada!$B$2:$M$25,MATCH(Plantillas!C139,Puntos_Jornada!$A$2:$A$25,0),MATCH($A139,Puntos_Jornada!$B$1:$M$1,0)),0)</f>
        <v>0</v>
      </c>
      <c r="D139" s="6">
        <f>IFERROR(INDEX(Puntos_Jornada!$B$2:$M$25,MATCH(Plantillas!D139,Puntos_Jornada!$A$2:$A$25,0),MATCH($A139,Puntos_Jornada!$B$1:$M$1,0)),0)</f>
        <v>0</v>
      </c>
      <c r="E139" s="6">
        <f>IFERROR(INDEX(Puntos_Jornada!$B$2:$M$25,MATCH(Plantillas!E139,Puntos_Jornada!$A$2:$A$25,0),MATCH($A139,Puntos_Jornada!$B$1:$M$1,0)),0)</f>
        <v>0</v>
      </c>
      <c r="F139" s="6">
        <f>IFERROR(INDEX(Puntos_Jornada!$B$2:$M$25,MATCH(Plantillas!F139,Puntos_Jornada!$A$2:$A$25,0),MATCH($A139,Puntos_Jornada!$B$1:$M$1,0)),0)</f>
        <v>0</v>
      </c>
      <c r="G139" s="6">
        <f>IFERROR(INDEX(Puntos_Jornada!$B$2:$M$25,MATCH(Plantillas!G139,Puntos_Jornada!$A$2:$A$25,0),MATCH($A139,Puntos_Jornada!$B$1:$M$1,0)),0)</f>
        <v>0</v>
      </c>
      <c r="H139" s="6">
        <f>IFERROR(INDEX(Puntos_Jornada!$B$2:$M$25,MATCH(Plantillas!H139,Puntos_Jornada!$A$2:$A$25,0),MATCH($A139,Puntos_Jornada!$B$1:$M$1,0)),0)</f>
        <v>0</v>
      </c>
      <c r="I139" s="15">
        <f t="shared" si="2"/>
        <v>0</v>
      </c>
    </row>
    <row r="140" spans="1:9" x14ac:dyDescent="0.25">
      <c r="A140" s="6">
        <f>Plantillas!A140</f>
        <v>6</v>
      </c>
      <c r="B140" s="13" t="str">
        <f>Plantillas!B140</f>
        <v>Alumno 19</v>
      </c>
      <c r="C140" s="6">
        <f>IFERROR(INDEX(Puntos_Jornada!$B$2:$M$25,MATCH(Plantillas!C140,Puntos_Jornada!$A$2:$A$25,0),MATCH($A140,Puntos_Jornada!$B$1:$M$1,0)),0)</f>
        <v>0</v>
      </c>
      <c r="D140" s="6">
        <f>IFERROR(INDEX(Puntos_Jornada!$B$2:$M$25,MATCH(Plantillas!D140,Puntos_Jornada!$A$2:$A$25,0),MATCH($A140,Puntos_Jornada!$B$1:$M$1,0)),0)</f>
        <v>0</v>
      </c>
      <c r="E140" s="6">
        <f>IFERROR(INDEX(Puntos_Jornada!$B$2:$M$25,MATCH(Plantillas!E140,Puntos_Jornada!$A$2:$A$25,0),MATCH($A140,Puntos_Jornada!$B$1:$M$1,0)),0)</f>
        <v>0</v>
      </c>
      <c r="F140" s="6">
        <f>IFERROR(INDEX(Puntos_Jornada!$B$2:$M$25,MATCH(Plantillas!F140,Puntos_Jornada!$A$2:$A$25,0),MATCH($A140,Puntos_Jornada!$B$1:$M$1,0)),0)</f>
        <v>0</v>
      </c>
      <c r="G140" s="6">
        <f>IFERROR(INDEX(Puntos_Jornada!$B$2:$M$25,MATCH(Plantillas!G140,Puntos_Jornada!$A$2:$A$25,0),MATCH($A140,Puntos_Jornada!$B$1:$M$1,0)),0)</f>
        <v>0</v>
      </c>
      <c r="H140" s="6">
        <f>IFERROR(INDEX(Puntos_Jornada!$B$2:$M$25,MATCH(Plantillas!H140,Puntos_Jornada!$A$2:$A$25,0),MATCH($A140,Puntos_Jornada!$B$1:$M$1,0)),0)</f>
        <v>0</v>
      </c>
      <c r="I140" s="15">
        <f t="shared" si="2"/>
        <v>0</v>
      </c>
    </row>
    <row r="141" spans="1:9" x14ac:dyDescent="0.25">
      <c r="A141" s="6">
        <f>Plantillas!A141</f>
        <v>6</v>
      </c>
      <c r="B141" s="13" t="str">
        <f>Plantillas!B141</f>
        <v>Alumno 20</v>
      </c>
      <c r="C141" s="6">
        <f>IFERROR(INDEX(Puntos_Jornada!$B$2:$M$25,MATCH(Plantillas!C141,Puntos_Jornada!$A$2:$A$25,0),MATCH($A141,Puntos_Jornada!$B$1:$M$1,0)),0)</f>
        <v>0</v>
      </c>
      <c r="D141" s="6">
        <f>IFERROR(INDEX(Puntos_Jornada!$B$2:$M$25,MATCH(Plantillas!D141,Puntos_Jornada!$A$2:$A$25,0),MATCH($A141,Puntos_Jornada!$B$1:$M$1,0)),0)</f>
        <v>0</v>
      </c>
      <c r="E141" s="6">
        <f>IFERROR(INDEX(Puntos_Jornada!$B$2:$M$25,MATCH(Plantillas!E141,Puntos_Jornada!$A$2:$A$25,0),MATCH($A141,Puntos_Jornada!$B$1:$M$1,0)),0)</f>
        <v>0</v>
      </c>
      <c r="F141" s="6">
        <f>IFERROR(INDEX(Puntos_Jornada!$B$2:$M$25,MATCH(Plantillas!F141,Puntos_Jornada!$A$2:$A$25,0),MATCH($A141,Puntos_Jornada!$B$1:$M$1,0)),0)</f>
        <v>0</v>
      </c>
      <c r="G141" s="6">
        <f>IFERROR(INDEX(Puntos_Jornada!$B$2:$M$25,MATCH(Plantillas!G141,Puntos_Jornada!$A$2:$A$25,0),MATCH($A141,Puntos_Jornada!$B$1:$M$1,0)),0)</f>
        <v>0</v>
      </c>
      <c r="H141" s="6">
        <f>IFERROR(INDEX(Puntos_Jornada!$B$2:$M$25,MATCH(Plantillas!H141,Puntos_Jornada!$A$2:$A$25,0),MATCH($A141,Puntos_Jornada!$B$1:$M$1,0)),0)</f>
        <v>0</v>
      </c>
      <c r="I141" s="15">
        <f t="shared" si="2"/>
        <v>0</v>
      </c>
    </row>
    <row r="142" spans="1:9" x14ac:dyDescent="0.25">
      <c r="A142" s="6">
        <f>Plantillas!A142</f>
        <v>6</v>
      </c>
      <c r="B142" s="13" t="str">
        <f>Plantillas!B142</f>
        <v>Alumno 21</v>
      </c>
      <c r="C142" s="6">
        <f>IFERROR(INDEX(Puntos_Jornada!$B$2:$M$25,MATCH(Plantillas!C142,Puntos_Jornada!$A$2:$A$25,0),MATCH($A142,Puntos_Jornada!$B$1:$M$1,0)),0)</f>
        <v>0</v>
      </c>
      <c r="D142" s="6">
        <f>IFERROR(INDEX(Puntos_Jornada!$B$2:$M$25,MATCH(Plantillas!D142,Puntos_Jornada!$A$2:$A$25,0),MATCH($A142,Puntos_Jornada!$B$1:$M$1,0)),0)</f>
        <v>0</v>
      </c>
      <c r="E142" s="6">
        <f>IFERROR(INDEX(Puntos_Jornada!$B$2:$M$25,MATCH(Plantillas!E142,Puntos_Jornada!$A$2:$A$25,0),MATCH($A142,Puntos_Jornada!$B$1:$M$1,0)),0)</f>
        <v>0</v>
      </c>
      <c r="F142" s="6">
        <f>IFERROR(INDEX(Puntos_Jornada!$B$2:$M$25,MATCH(Plantillas!F142,Puntos_Jornada!$A$2:$A$25,0),MATCH($A142,Puntos_Jornada!$B$1:$M$1,0)),0)</f>
        <v>0</v>
      </c>
      <c r="G142" s="6">
        <f>IFERROR(INDEX(Puntos_Jornada!$B$2:$M$25,MATCH(Plantillas!G142,Puntos_Jornada!$A$2:$A$25,0),MATCH($A142,Puntos_Jornada!$B$1:$M$1,0)),0)</f>
        <v>0</v>
      </c>
      <c r="H142" s="6">
        <f>IFERROR(INDEX(Puntos_Jornada!$B$2:$M$25,MATCH(Plantillas!H142,Puntos_Jornada!$A$2:$A$25,0),MATCH($A142,Puntos_Jornada!$B$1:$M$1,0)),0)</f>
        <v>0</v>
      </c>
      <c r="I142" s="15">
        <f t="shared" si="2"/>
        <v>0</v>
      </c>
    </row>
    <row r="143" spans="1:9" x14ac:dyDescent="0.25">
      <c r="A143" s="6">
        <f>Plantillas!A143</f>
        <v>6</v>
      </c>
      <c r="B143" s="13" t="str">
        <f>Plantillas!B143</f>
        <v>Alumno 22</v>
      </c>
      <c r="C143" s="6">
        <f>IFERROR(INDEX(Puntos_Jornada!$B$2:$M$25,MATCH(Plantillas!C143,Puntos_Jornada!$A$2:$A$25,0),MATCH($A143,Puntos_Jornada!$B$1:$M$1,0)),0)</f>
        <v>0</v>
      </c>
      <c r="D143" s="6">
        <f>IFERROR(INDEX(Puntos_Jornada!$B$2:$M$25,MATCH(Plantillas!D143,Puntos_Jornada!$A$2:$A$25,0),MATCH($A143,Puntos_Jornada!$B$1:$M$1,0)),0)</f>
        <v>0</v>
      </c>
      <c r="E143" s="6">
        <f>IFERROR(INDEX(Puntos_Jornada!$B$2:$M$25,MATCH(Plantillas!E143,Puntos_Jornada!$A$2:$A$25,0),MATCH($A143,Puntos_Jornada!$B$1:$M$1,0)),0)</f>
        <v>0</v>
      </c>
      <c r="F143" s="6">
        <f>IFERROR(INDEX(Puntos_Jornada!$B$2:$M$25,MATCH(Plantillas!F143,Puntos_Jornada!$A$2:$A$25,0),MATCH($A143,Puntos_Jornada!$B$1:$M$1,0)),0)</f>
        <v>0</v>
      </c>
      <c r="G143" s="6">
        <f>IFERROR(INDEX(Puntos_Jornada!$B$2:$M$25,MATCH(Plantillas!G143,Puntos_Jornada!$A$2:$A$25,0),MATCH($A143,Puntos_Jornada!$B$1:$M$1,0)),0)</f>
        <v>0</v>
      </c>
      <c r="H143" s="6">
        <f>IFERROR(INDEX(Puntos_Jornada!$B$2:$M$25,MATCH(Plantillas!H143,Puntos_Jornada!$A$2:$A$25,0),MATCH($A143,Puntos_Jornada!$B$1:$M$1,0)),0)</f>
        <v>0</v>
      </c>
      <c r="I143" s="15">
        <f t="shared" si="2"/>
        <v>0</v>
      </c>
    </row>
    <row r="144" spans="1:9" x14ac:dyDescent="0.25">
      <c r="A144" s="6">
        <f>Plantillas!A144</f>
        <v>6</v>
      </c>
      <c r="B144" s="13" t="str">
        <f>Plantillas!B144</f>
        <v>Alumno 23</v>
      </c>
      <c r="C144" s="6">
        <f>IFERROR(INDEX(Puntos_Jornada!$B$2:$M$25,MATCH(Plantillas!C144,Puntos_Jornada!$A$2:$A$25,0),MATCH($A144,Puntos_Jornada!$B$1:$M$1,0)),0)</f>
        <v>0</v>
      </c>
      <c r="D144" s="6">
        <f>IFERROR(INDEX(Puntos_Jornada!$B$2:$M$25,MATCH(Plantillas!D144,Puntos_Jornada!$A$2:$A$25,0),MATCH($A144,Puntos_Jornada!$B$1:$M$1,0)),0)</f>
        <v>0</v>
      </c>
      <c r="E144" s="6">
        <f>IFERROR(INDEX(Puntos_Jornada!$B$2:$M$25,MATCH(Plantillas!E144,Puntos_Jornada!$A$2:$A$25,0),MATCH($A144,Puntos_Jornada!$B$1:$M$1,0)),0)</f>
        <v>0</v>
      </c>
      <c r="F144" s="6">
        <f>IFERROR(INDEX(Puntos_Jornada!$B$2:$M$25,MATCH(Plantillas!F144,Puntos_Jornada!$A$2:$A$25,0),MATCH($A144,Puntos_Jornada!$B$1:$M$1,0)),0)</f>
        <v>0</v>
      </c>
      <c r="G144" s="6">
        <f>IFERROR(INDEX(Puntos_Jornada!$B$2:$M$25,MATCH(Plantillas!G144,Puntos_Jornada!$A$2:$A$25,0),MATCH($A144,Puntos_Jornada!$B$1:$M$1,0)),0)</f>
        <v>0</v>
      </c>
      <c r="H144" s="6">
        <f>IFERROR(INDEX(Puntos_Jornada!$B$2:$M$25,MATCH(Plantillas!H144,Puntos_Jornada!$A$2:$A$25,0),MATCH($A144,Puntos_Jornada!$B$1:$M$1,0)),0)</f>
        <v>0</v>
      </c>
      <c r="I144" s="15">
        <f t="shared" si="2"/>
        <v>0</v>
      </c>
    </row>
    <row r="145" spans="1:9" x14ac:dyDescent="0.25">
      <c r="A145" s="6">
        <f>Plantillas!A145</f>
        <v>6</v>
      </c>
      <c r="B145" s="13" t="str">
        <f>Plantillas!B145</f>
        <v>Alumno 24</v>
      </c>
      <c r="C145" s="6">
        <f>IFERROR(INDEX(Puntos_Jornada!$B$2:$M$25,MATCH(Plantillas!C145,Puntos_Jornada!$A$2:$A$25,0),MATCH($A145,Puntos_Jornada!$B$1:$M$1,0)),0)</f>
        <v>0</v>
      </c>
      <c r="D145" s="6">
        <f>IFERROR(INDEX(Puntos_Jornada!$B$2:$M$25,MATCH(Plantillas!D145,Puntos_Jornada!$A$2:$A$25,0),MATCH($A145,Puntos_Jornada!$B$1:$M$1,0)),0)</f>
        <v>0</v>
      </c>
      <c r="E145" s="6">
        <f>IFERROR(INDEX(Puntos_Jornada!$B$2:$M$25,MATCH(Plantillas!E145,Puntos_Jornada!$A$2:$A$25,0),MATCH($A145,Puntos_Jornada!$B$1:$M$1,0)),0)</f>
        <v>0</v>
      </c>
      <c r="F145" s="6">
        <f>IFERROR(INDEX(Puntos_Jornada!$B$2:$M$25,MATCH(Plantillas!F145,Puntos_Jornada!$A$2:$A$25,0),MATCH($A145,Puntos_Jornada!$B$1:$M$1,0)),0)</f>
        <v>0</v>
      </c>
      <c r="G145" s="6">
        <f>IFERROR(INDEX(Puntos_Jornada!$B$2:$M$25,MATCH(Plantillas!G145,Puntos_Jornada!$A$2:$A$25,0),MATCH($A145,Puntos_Jornada!$B$1:$M$1,0)),0)</f>
        <v>0</v>
      </c>
      <c r="H145" s="6">
        <f>IFERROR(INDEX(Puntos_Jornada!$B$2:$M$25,MATCH(Plantillas!H145,Puntos_Jornada!$A$2:$A$25,0),MATCH($A145,Puntos_Jornada!$B$1:$M$1,0)),0)</f>
        <v>0</v>
      </c>
      <c r="I145" s="15">
        <f t="shared" si="2"/>
        <v>0</v>
      </c>
    </row>
    <row r="146" spans="1:9" x14ac:dyDescent="0.25">
      <c r="A146" s="6">
        <f>Plantillas!A146</f>
        <v>7</v>
      </c>
      <c r="B146" s="13" t="str">
        <f>Plantillas!B146</f>
        <v>Alumno 1</v>
      </c>
      <c r="C146" s="6">
        <f>IFERROR(INDEX(Puntos_Jornada!$B$2:$M$25,MATCH(Plantillas!C146,Puntos_Jornada!$A$2:$A$25,0),MATCH($A146,Puntos_Jornada!$B$1:$M$1,0)),0)</f>
        <v>0</v>
      </c>
      <c r="D146" s="6">
        <f>IFERROR(INDEX(Puntos_Jornada!$B$2:$M$25,MATCH(Plantillas!D146,Puntos_Jornada!$A$2:$A$25,0),MATCH($A146,Puntos_Jornada!$B$1:$M$1,0)),0)</f>
        <v>0</v>
      </c>
      <c r="E146" s="6">
        <f>IFERROR(INDEX(Puntos_Jornada!$B$2:$M$25,MATCH(Plantillas!E146,Puntos_Jornada!$A$2:$A$25,0),MATCH($A146,Puntos_Jornada!$B$1:$M$1,0)),0)</f>
        <v>0</v>
      </c>
      <c r="F146" s="6">
        <f>IFERROR(INDEX(Puntos_Jornada!$B$2:$M$25,MATCH(Plantillas!F146,Puntos_Jornada!$A$2:$A$25,0),MATCH($A146,Puntos_Jornada!$B$1:$M$1,0)),0)</f>
        <v>0</v>
      </c>
      <c r="G146" s="6">
        <f>IFERROR(INDEX(Puntos_Jornada!$B$2:$M$25,MATCH(Plantillas!G146,Puntos_Jornada!$A$2:$A$25,0),MATCH($A146,Puntos_Jornada!$B$1:$M$1,0)),0)</f>
        <v>0</v>
      </c>
      <c r="H146" s="6">
        <f>IFERROR(INDEX(Puntos_Jornada!$B$2:$M$25,MATCH(Plantillas!H146,Puntos_Jornada!$A$2:$A$25,0),MATCH($A146,Puntos_Jornada!$B$1:$M$1,0)),0)</f>
        <v>0</v>
      </c>
      <c r="I146" s="15">
        <f t="shared" si="2"/>
        <v>0</v>
      </c>
    </row>
    <row r="147" spans="1:9" x14ac:dyDescent="0.25">
      <c r="A147" s="6">
        <f>Plantillas!A147</f>
        <v>7</v>
      </c>
      <c r="B147" s="13" t="str">
        <f>Plantillas!B147</f>
        <v>Alumno 2</v>
      </c>
      <c r="C147" s="6">
        <f>IFERROR(INDEX(Puntos_Jornada!$B$2:$M$25,MATCH(Plantillas!C147,Puntos_Jornada!$A$2:$A$25,0),MATCH($A147,Puntos_Jornada!$B$1:$M$1,0)),0)</f>
        <v>0</v>
      </c>
      <c r="D147" s="6">
        <f>IFERROR(INDEX(Puntos_Jornada!$B$2:$M$25,MATCH(Plantillas!D147,Puntos_Jornada!$A$2:$A$25,0),MATCH($A147,Puntos_Jornada!$B$1:$M$1,0)),0)</f>
        <v>0</v>
      </c>
      <c r="E147" s="6">
        <f>IFERROR(INDEX(Puntos_Jornada!$B$2:$M$25,MATCH(Plantillas!E147,Puntos_Jornada!$A$2:$A$25,0),MATCH($A147,Puntos_Jornada!$B$1:$M$1,0)),0)</f>
        <v>0</v>
      </c>
      <c r="F147" s="6">
        <f>IFERROR(INDEX(Puntos_Jornada!$B$2:$M$25,MATCH(Plantillas!F147,Puntos_Jornada!$A$2:$A$25,0),MATCH($A147,Puntos_Jornada!$B$1:$M$1,0)),0)</f>
        <v>0</v>
      </c>
      <c r="G147" s="6">
        <f>IFERROR(INDEX(Puntos_Jornada!$B$2:$M$25,MATCH(Plantillas!G147,Puntos_Jornada!$A$2:$A$25,0),MATCH($A147,Puntos_Jornada!$B$1:$M$1,0)),0)</f>
        <v>0</v>
      </c>
      <c r="H147" s="6">
        <f>IFERROR(INDEX(Puntos_Jornada!$B$2:$M$25,MATCH(Plantillas!H147,Puntos_Jornada!$A$2:$A$25,0),MATCH($A147,Puntos_Jornada!$B$1:$M$1,0)),0)</f>
        <v>0</v>
      </c>
      <c r="I147" s="15">
        <f t="shared" si="2"/>
        <v>0</v>
      </c>
    </row>
    <row r="148" spans="1:9" x14ac:dyDescent="0.25">
      <c r="A148" s="6">
        <f>Plantillas!A148</f>
        <v>7</v>
      </c>
      <c r="B148" s="13" t="str">
        <f>Plantillas!B148</f>
        <v>Alumno 3</v>
      </c>
      <c r="C148" s="6">
        <f>IFERROR(INDEX(Puntos_Jornada!$B$2:$M$25,MATCH(Plantillas!C148,Puntos_Jornada!$A$2:$A$25,0),MATCH($A148,Puntos_Jornada!$B$1:$M$1,0)),0)</f>
        <v>0</v>
      </c>
      <c r="D148" s="6">
        <f>IFERROR(INDEX(Puntos_Jornada!$B$2:$M$25,MATCH(Plantillas!D148,Puntos_Jornada!$A$2:$A$25,0),MATCH($A148,Puntos_Jornada!$B$1:$M$1,0)),0)</f>
        <v>0</v>
      </c>
      <c r="E148" s="6">
        <f>IFERROR(INDEX(Puntos_Jornada!$B$2:$M$25,MATCH(Plantillas!E148,Puntos_Jornada!$A$2:$A$25,0),MATCH($A148,Puntos_Jornada!$B$1:$M$1,0)),0)</f>
        <v>0</v>
      </c>
      <c r="F148" s="6">
        <f>IFERROR(INDEX(Puntos_Jornada!$B$2:$M$25,MATCH(Plantillas!F148,Puntos_Jornada!$A$2:$A$25,0),MATCH($A148,Puntos_Jornada!$B$1:$M$1,0)),0)</f>
        <v>0</v>
      </c>
      <c r="G148" s="6">
        <f>IFERROR(INDEX(Puntos_Jornada!$B$2:$M$25,MATCH(Plantillas!G148,Puntos_Jornada!$A$2:$A$25,0),MATCH($A148,Puntos_Jornada!$B$1:$M$1,0)),0)</f>
        <v>0</v>
      </c>
      <c r="H148" s="6">
        <f>IFERROR(INDEX(Puntos_Jornada!$B$2:$M$25,MATCH(Plantillas!H148,Puntos_Jornada!$A$2:$A$25,0),MATCH($A148,Puntos_Jornada!$B$1:$M$1,0)),0)</f>
        <v>0</v>
      </c>
      <c r="I148" s="15">
        <f t="shared" si="2"/>
        <v>0</v>
      </c>
    </row>
    <row r="149" spans="1:9" x14ac:dyDescent="0.25">
      <c r="A149" s="6">
        <f>Plantillas!A149</f>
        <v>7</v>
      </c>
      <c r="B149" s="13" t="str">
        <f>Plantillas!B149</f>
        <v>Alumno 4</v>
      </c>
      <c r="C149" s="6">
        <f>IFERROR(INDEX(Puntos_Jornada!$B$2:$M$25,MATCH(Plantillas!C149,Puntos_Jornada!$A$2:$A$25,0),MATCH($A149,Puntos_Jornada!$B$1:$M$1,0)),0)</f>
        <v>0</v>
      </c>
      <c r="D149" s="6">
        <f>IFERROR(INDEX(Puntos_Jornada!$B$2:$M$25,MATCH(Plantillas!D149,Puntos_Jornada!$A$2:$A$25,0),MATCH($A149,Puntos_Jornada!$B$1:$M$1,0)),0)</f>
        <v>0</v>
      </c>
      <c r="E149" s="6">
        <f>IFERROR(INDEX(Puntos_Jornada!$B$2:$M$25,MATCH(Plantillas!E149,Puntos_Jornada!$A$2:$A$25,0),MATCH($A149,Puntos_Jornada!$B$1:$M$1,0)),0)</f>
        <v>0</v>
      </c>
      <c r="F149" s="6">
        <f>IFERROR(INDEX(Puntos_Jornada!$B$2:$M$25,MATCH(Plantillas!F149,Puntos_Jornada!$A$2:$A$25,0),MATCH($A149,Puntos_Jornada!$B$1:$M$1,0)),0)</f>
        <v>0</v>
      </c>
      <c r="G149" s="6">
        <f>IFERROR(INDEX(Puntos_Jornada!$B$2:$M$25,MATCH(Plantillas!G149,Puntos_Jornada!$A$2:$A$25,0),MATCH($A149,Puntos_Jornada!$B$1:$M$1,0)),0)</f>
        <v>0</v>
      </c>
      <c r="H149" s="6">
        <f>IFERROR(INDEX(Puntos_Jornada!$B$2:$M$25,MATCH(Plantillas!H149,Puntos_Jornada!$A$2:$A$25,0),MATCH($A149,Puntos_Jornada!$B$1:$M$1,0)),0)</f>
        <v>0</v>
      </c>
      <c r="I149" s="15">
        <f t="shared" si="2"/>
        <v>0</v>
      </c>
    </row>
    <row r="150" spans="1:9" x14ac:dyDescent="0.25">
      <c r="A150" s="6">
        <f>Plantillas!A150</f>
        <v>7</v>
      </c>
      <c r="B150" s="13" t="str">
        <f>Plantillas!B150</f>
        <v>Alumno 5</v>
      </c>
      <c r="C150" s="6">
        <f>IFERROR(INDEX(Puntos_Jornada!$B$2:$M$25,MATCH(Plantillas!C150,Puntos_Jornada!$A$2:$A$25,0),MATCH($A150,Puntos_Jornada!$B$1:$M$1,0)),0)</f>
        <v>0</v>
      </c>
      <c r="D150" s="6">
        <f>IFERROR(INDEX(Puntos_Jornada!$B$2:$M$25,MATCH(Plantillas!D150,Puntos_Jornada!$A$2:$A$25,0),MATCH($A150,Puntos_Jornada!$B$1:$M$1,0)),0)</f>
        <v>0</v>
      </c>
      <c r="E150" s="6">
        <f>IFERROR(INDEX(Puntos_Jornada!$B$2:$M$25,MATCH(Plantillas!E150,Puntos_Jornada!$A$2:$A$25,0),MATCH($A150,Puntos_Jornada!$B$1:$M$1,0)),0)</f>
        <v>0</v>
      </c>
      <c r="F150" s="6">
        <f>IFERROR(INDEX(Puntos_Jornada!$B$2:$M$25,MATCH(Plantillas!F150,Puntos_Jornada!$A$2:$A$25,0),MATCH($A150,Puntos_Jornada!$B$1:$M$1,0)),0)</f>
        <v>0</v>
      </c>
      <c r="G150" s="6">
        <f>IFERROR(INDEX(Puntos_Jornada!$B$2:$M$25,MATCH(Plantillas!G150,Puntos_Jornada!$A$2:$A$25,0),MATCH($A150,Puntos_Jornada!$B$1:$M$1,0)),0)</f>
        <v>0</v>
      </c>
      <c r="H150" s="6">
        <f>IFERROR(INDEX(Puntos_Jornada!$B$2:$M$25,MATCH(Plantillas!H150,Puntos_Jornada!$A$2:$A$25,0),MATCH($A150,Puntos_Jornada!$B$1:$M$1,0)),0)</f>
        <v>0</v>
      </c>
      <c r="I150" s="15">
        <f t="shared" si="2"/>
        <v>0</v>
      </c>
    </row>
    <row r="151" spans="1:9" x14ac:dyDescent="0.25">
      <c r="A151" s="6">
        <f>Plantillas!A151</f>
        <v>7</v>
      </c>
      <c r="B151" s="13" t="str">
        <f>Plantillas!B151</f>
        <v>Alumno 6</v>
      </c>
      <c r="C151" s="6">
        <f>IFERROR(INDEX(Puntos_Jornada!$B$2:$M$25,MATCH(Plantillas!C151,Puntos_Jornada!$A$2:$A$25,0),MATCH($A151,Puntos_Jornada!$B$1:$M$1,0)),0)</f>
        <v>0</v>
      </c>
      <c r="D151" s="6">
        <f>IFERROR(INDEX(Puntos_Jornada!$B$2:$M$25,MATCH(Plantillas!D151,Puntos_Jornada!$A$2:$A$25,0),MATCH($A151,Puntos_Jornada!$B$1:$M$1,0)),0)</f>
        <v>0</v>
      </c>
      <c r="E151" s="6">
        <f>IFERROR(INDEX(Puntos_Jornada!$B$2:$M$25,MATCH(Plantillas!E151,Puntos_Jornada!$A$2:$A$25,0),MATCH($A151,Puntos_Jornada!$B$1:$M$1,0)),0)</f>
        <v>0</v>
      </c>
      <c r="F151" s="6">
        <f>IFERROR(INDEX(Puntos_Jornada!$B$2:$M$25,MATCH(Plantillas!F151,Puntos_Jornada!$A$2:$A$25,0),MATCH($A151,Puntos_Jornada!$B$1:$M$1,0)),0)</f>
        <v>0</v>
      </c>
      <c r="G151" s="6">
        <f>IFERROR(INDEX(Puntos_Jornada!$B$2:$M$25,MATCH(Plantillas!G151,Puntos_Jornada!$A$2:$A$25,0),MATCH($A151,Puntos_Jornada!$B$1:$M$1,0)),0)</f>
        <v>0</v>
      </c>
      <c r="H151" s="6">
        <f>IFERROR(INDEX(Puntos_Jornada!$B$2:$M$25,MATCH(Plantillas!H151,Puntos_Jornada!$A$2:$A$25,0),MATCH($A151,Puntos_Jornada!$B$1:$M$1,0)),0)</f>
        <v>0</v>
      </c>
      <c r="I151" s="15">
        <f t="shared" si="2"/>
        <v>0</v>
      </c>
    </row>
    <row r="152" spans="1:9" x14ac:dyDescent="0.25">
      <c r="A152" s="6">
        <f>Plantillas!A152</f>
        <v>7</v>
      </c>
      <c r="B152" s="13" t="str">
        <f>Plantillas!B152</f>
        <v>Alumno 7</v>
      </c>
      <c r="C152" s="6">
        <f>IFERROR(INDEX(Puntos_Jornada!$B$2:$M$25,MATCH(Plantillas!C152,Puntos_Jornada!$A$2:$A$25,0),MATCH($A152,Puntos_Jornada!$B$1:$M$1,0)),0)</f>
        <v>0</v>
      </c>
      <c r="D152" s="6">
        <f>IFERROR(INDEX(Puntos_Jornada!$B$2:$M$25,MATCH(Plantillas!D152,Puntos_Jornada!$A$2:$A$25,0),MATCH($A152,Puntos_Jornada!$B$1:$M$1,0)),0)</f>
        <v>0</v>
      </c>
      <c r="E152" s="6">
        <f>IFERROR(INDEX(Puntos_Jornada!$B$2:$M$25,MATCH(Plantillas!E152,Puntos_Jornada!$A$2:$A$25,0),MATCH($A152,Puntos_Jornada!$B$1:$M$1,0)),0)</f>
        <v>0</v>
      </c>
      <c r="F152" s="6">
        <f>IFERROR(INDEX(Puntos_Jornada!$B$2:$M$25,MATCH(Plantillas!F152,Puntos_Jornada!$A$2:$A$25,0),MATCH($A152,Puntos_Jornada!$B$1:$M$1,0)),0)</f>
        <v>0</v>
      </c>
      <c r="G152" s="6">
        <f>IFERROR(INDEX(Puntos_Jornada!$B$2:$M$25,MATCH(Plantillas!G152,Puntos_Jornada!$A$2:$A$25,0),MATCH($A152,Puntos_Jornada!$B$1:$M$1,0)),0)</f>
        <v>0</v>
      </c>
      <c r="H152" s="6">
        <f>IFERROR(INDEX(Puntos_Jornada!$B$2:$M$25,MATCH(Plantillas!H152,Puntos_Jornada!$A$2:$A$25,0),MATCH($A152,Puntos_Jornada!$B$1:$M$1,0)),0)</f>
        <v>0</v>
      </c>
      <c r="I152" s="15">
        <f t="shared" si="2"/>
        <v>0</v>
      </c>
    </row>
    <row r="153" spans="1:9" x14ac:dyDescent="0.25">
      <c r="A153" s="6">
        <f>Plantillas!A153</f>
        <v>7</v>
      </c>
      <c r="B153" s="13" t="str">
        <f>Plantillas!B153</f>
        <v>Alumno 8</v>
      </c>
      <c r="C153" s="6">
        <f>IFERROR(INDEX(Puntos_Jornada!$B$2:$M$25,MATCH(Plantillas!C153,Puntos_Jornada!$A$2:$A$25,0),MATCH($A153,Puntos_Jornada!$B$1:$M$1,0)),0)</f>
        <v>0</v>
      </c>
      <c r="D153" s="6">
        <f>IFERROR(INDEX(Puntos_Jornada!$B$2:$M$25,MATCH(Plantillas!D153,Puntos_Jornada!$A$2:$A$25,0),MATCH($A153,Puntos_Jornada!$B$1:$M$1,0)),0)</f>
        <v>0</v>
      </c>
      <c r="E153" s="6">
        <f>IFERROR(INDEX(Puntos_Jornada!$B$2:$M$25,MATCH(Plantillas!E153,Puntos_Jornada!$A$2:$A$25,0),MATCH($A153,Puntos_Jornada!$B$1:$M$1,0)),0)</f>
        <v>0</v>
      </c>
      <c r="F153" s="6">
        <f>IFERROR(INDEX(Puntos_Jornada!$B$2:$M$25,MATCH(Plantillas!F153,Puntos_Jornada!$A$2:$A$25,0),MATCH($A153,Puntos_Jornada!$B$1:$M$1,0)),0)</f>
        <v>0</v>
      </c>
      <c r="G153" s="6">
        <f>IFERROR(INDEX(Puntos_Jornada!$B$2:$M$25,MATCH(Plantillas!G153,Puntos_Jornada!$A$2:$A$25,0),MATCH($A153,Puntos_Jornada!$B$1:$M$1,0)),0)</f>
        <v>0</v>
      </c>
      <c r="H153" s="6">
        <f>IFERROR(INDEX(Puntos_Jornada!$B$2:$M$25,MATCH(Plantillas!H153,Puntos_Jornada!$A$2:$A$25,0),MATCH($A153,Puntos_Jornada!$B$1:$M$1,0)),0)</f>
        <v>0</v>
      </c>
      <c r="I153" s="15">
        <f t="shared" si="2"/>
        <v>0</v>
      </c>
    </row>
    <row r="154" spans="1:9" x14ac:dyDescent="0.25">
      <c r="A154" s="6">
        <f>Plantillas!A154</f>
        <v>7</v>
      </c>
      <c r="B154" s="13" t="str">
        <f>Plantillas!B154</f>
        <v>Alumno 9</v>
      </c>
      <c r="C154" s="6">
        <f>IFERROR(INDEX(Puntos_Jornada!$B$2:$M$25,MATCH(Plantillas!C154,Puntos_Jornada!$A$2:$A$25,0),MATCH($A154,Puntos_Jornada!$B$1:$M$1,0)),0)</f>
        <v>0</v>
      </c>
      <c r="D154" s="6">
        <f>IFERROR(INDEX(Puntos_Jornada!$B$2:$M$25,MATCH(Plantillas!D154,Puntos_Jornada!$A$2:$A$25,0),MATCH($A154,Puntos_Jornada!$B$1:$M$1,0)),0)</f>
        <v>0</v>
      </c>
      <c r="E154" s="6">
        <f>IFERROR(INDEX(Puntos_Jornada!$B$2:$M$25,MATCH(Plantillas!E154,Puntos_Jornada!$A$2:$A$25,0),MATCH($A154,Puntos_Jornada!$B$1:$M$1,0)),0)</f>
        <v>0</v>
      </c>
      <c r="F154" s="6">
        <f>IFERROR(INDEX(Puntos_Jornada!$B$2:$M$25,MATCH(Plantillas!F154,Puntos_Jornada!$A$2:$A$25,0),MATCH($A154,Puntos_Jornada!$B$1:$M$1,0)),0)</f>
        <v>0</v>
      </c>
      <c r="G154" s="6">
        <f>IFERROR(INDEX(Puntos_Jornada!$B$2:$M$25,MATCH(Plantillas!G154,Puntos_Jornada!$A$2:$A$25,0),MATCH($A154,Puntos_Jornada!$B$1:$M$1,0)),0)</f>
        <v>0</v>
      </c>
      <c r="H154" s="6">
        <f>IFERROR(INDEX(Puntos_Jornada!$B$2:$M$25,MATCH(Plantillas!H154,Puntos_Jornada!$A$2:$A$25,0),MATCH($A154,Puntos_Jornada!$B$1:$M$1,0)),0)</f>
        <v>0</v>
      </c>
      <c r="I154" s="15">
        <f t="shared" si="2"/>
        <v>0</v>
      </c>
    </row>
    <row r="155" spans="1:9" x14ac:dyDescent="0.25">
      <c r="A155" s="6">
        <f>Plantillas!A155</f>
        <v>7</v>
      </c>
      <c r="B155" s="13" t="str">
        <f>Plantillas!B155</f>
        <v>Alumno 10</v>
      </c>
      <c r="C155" s="6">
        <f>IFERROR(INDEX(Puntos_Jornada!$B$2:$M$25,MATCH(Plantillas!C155,Puntos_Jornada!$A$2:$A$25,0),MATCH($A155,Puntos_Jornada!$B$1:$M$1,0)),0)</f>
        <v>0</v>
      </c>
      <c r="D155" s="6">
        <f>IFERROR(INDEX(Puntos_Jornada!$B$2:$M$25,MATCH(Plantillas!D155,Puntos_Jornada!$A$2:$A$25,0),MATCH($A155,Puntos_Jornada!$B$1:$M$1,0)),0)</f>
        <v>0</v>
      </c>
      <c r="E155" s="6">
        <f>IFERROR(INDEX(Puntos_Jornada!$B$2:$M$25,MATCH(Plantillas!E155,Puntos_Jornada!$A$2:$A$25,0),MATCH($A155,Puntos_Jornada!$B$1:$M$1,0)),0)</f>
        <v>0</v>
      </c>
      <c r="F155" s="6">
        <f>IFERROR(INDEX(Puntos_Jornada!$B$2:$M$25,MATCH(Plantillas!F155,Puntos_Jornada!$A$2:$A$25,0),MATCH($A155,Puntos_Jornada!$B$1:$M$1,0)),0)</f>
        <v>0</v>
      </c>
      <c r="G155" s="6">
        <f>IFERROR(INDEX(Puntos_Jornada!$B$2:$M$25,MATCH(Plantillas!G155,Puntos_Jornada!$A$2:$A$25,0),MATCH($A155,Puntos_Jornada!$B$1:$M$1,0)),0)</f>
        <v>0</v>
      </c>
      <c r="H155" s="6">
        <f>IFERROR(INDEX(Puntos_Jornada!$B$2:$M$25,MATCH(Plantillas!H155,Puntos_Jornada!$A$2:$A$25,0),MATCH($A155,Puntos_Jornada!$B$1:$M$1,0)),0)</f>
        <v>0</v>
      </c>
      <c r="I155" s="15">
        <f t="shared" si="2"/>
        <v>0</v>
      </c>
    </row>
    <row r="156" spans="1:9" x14ac:dyDescent="0.25">
      <c r="A156" s="6">
        <f>Plantillas!A156</f>
        <v>7</v>
      </c>
      <c r="B156" s="13" t="str">
        <f>Plantillas!B156</f>
        <v>Alumno 11</v>
      </c>
      <c r="C156" s="6">
        <f>IFERROR(INDEX(Puntos_Jornada!$B$2:$M$25,MATCH(Plantillas!C156,Puntos_Jornada!$A$2:$A$25,0),MATCH($A156,Puntos_Jornada!$B$1:$M$1,0)),0)</f>
        <v>0</v>
      </c>
      <c r="D156" s="6">
        <f>IFERROR(INDEX(Puntos_Jornada!$B$2:$M$25,MATCH(Plantillas!D156,Puntos_Jornada!$A$2:$A$25,0),MATCH($A156,Puntos_Jornada!$B$1:$M$1,0)),0)</f>
        <v>0</v>
      </c>
      <c r="E156" s="6">
        <f>IFERROR(INDEX(Puntos_Jornada!$B$2:$M$25,MATCH(Plantillas!E156,Puntos_Jornada!$A$2:$A$25,0),MATCH($A156,Puntos_Jornada!$B$1:$M$1,0)),0)</f>
        <v>0</v>
      </c>
      <c r="F156" s="6">
        <f>IFERROR(INDEX(Puntos_Jornada!$B$2:$M$25,MATCH(Plantillas!F156,Puntos_Jornada!$A$2:$A$25,0),MATCH($A156,Puntos_Jornada!$B$1:$M$1,0)),0)</f>
        <v>0</v>
      </c>
      <c r="G156" s="6">
        <f>IFERROR(INDEX(Puntos_Jornada!$B$2:$M$25,MATCH(Plantillas!G156,Puntos_Jornada!$A$2:$A$25,0),MATCH($A156,Puntos_Jornada!$B$1:$M$1,0)),0)</f>
        <v>0</v>
      </c>
      <c r="H156" s="6">
        <f>IFERROR(INDEX(Puntos_Jornada!$B$2:$M$25,MATCH(Plantillas!H156,Puntos_Jornada!$A$2:$A$25,0),MATCH($A156,Puntos_Jornada!$B$1:$M$1,0)),0)</f>
        <v>0</v>
      </c>
      <c r="I156" s="15">
        <f t="shared" si="2"/>
        <v>0</v>
      </c>
    </row>
    <row r="157" spans="1:9" x14ac:dyDescent="0.25">
      <c r="A157" s="6">
        <f>Plantillas!A157</f>
        <v>7</v>
      </c>
      <c r="B157" s="13" t="str">
        <f>Plantillas!B157</f>
        <v>Alumno 12</v>
      </c>
      <c r="C157" s="6">
        <f>IFERROR(INDEX(Puntos_Jornada!$B$2:$M$25,MATCH(Plantillas!C157,Puntos_Jornada!$A$2:$A$25,0),MATCH($A157,Puntos_Jornada!$B$1:$M$1,0)),0)</f>
        <v>0</v>
      </c>
      <c r="D157" s="6">
        <f>IFERROR(INDEX(Puntos_Jornada!$B$2:$M$25,MATCH(Plantillas!D157,Puntos_Jornada!$A$2:$A$25,0),MATCH($A157,Puntos_Jornada!$B$1:$M$1,0)),0)</f>
        <v>0</v>
      </c>
      <c r="E157" s="6">
        <f>IFERROR(INDEX(Puntos_Jornada!$B$2:$M$25,MATCH(Plantillas!E157,Puntos_Jornada!$A$2:$A$25,0),MATCH($A157,Puntos_Jornada!$B$1:$M$1,0)),0)</f>
        <v>0</v>
      </c>
      <c r="F157" s="6">
        <f>IFERROR(INDEX(Puntos_Jornada!$B$2:$M$25,MATCH(Plantillas!F157,Puntos_Jornada!$A$2:$A$25,0),MATCH($A157,Puntos_Jornada!$B$1:$M$1,0)),0)</f>
        <v>0</v>
      </c>
      <c r="G157" s="6">
        <f>IFERROR(INDEX(Puntos_Jornada!$B$2:$M$25,MATCH(Plantillas!G157,Puntos_Jornada!$A$2:$A$25,0),MATCH($A157,Puntos_Jornada!$B$1:$M$1,0)),0)</f>
        <v>0</v>
      </c>
      <c r="H157" s="6">
        <f>IFERROR(INDEX(Puntos_Jornada!$B$2:$M$25,MATCH(Plantillas!H157,Puntos_Jornada!$A$2:$A$25,0),MATCH($A157,Puntos_Jornada!$B$1:$M$1,0)),0)</f>
        <v>0</v>
      </c>
      <c r="I157" s="15">
        <f t="shared" si="2"/>
        <v>0</v>
      </c>
    </row>
    <row r="158" spans="1:9" x14ac:dyDescent="0.25">
      <c r="A158" s="6">
        <f>Plantillas!A158</f>
        <v>7</v>
      </c>
      <c r="B158" s="13" t="str">
        <f>Plantillas!B158</f>
        <v>Alumno 13</v>
      </c>
      <c r="C158" s="6">
        <f>IFERROR(INDEX(Puntos_Jornada!$B$2:$M$25,MATCH(Plantillas!C158,Puntos_Jornada!$A$2:$A$25,0),MATCH($A158,Puntos_Jornada!$B$1:$M$1,0)),0)</f>
        <v>0</v>
      </c>
      <c r="D158" s="6">
        <f>IFERROR(INDEX(Puntos_Jornada!$B$2:$M$25,MATCH(Plantillas!D158,Puntos_Jornada!$A$2:$A$25,0),MATCH($A158,Puntos_Jornada!$B$1:$M$1,0)),0)</f>
        <v>0</v>
      </c>
      <c r="E158" s="6">
        <f>IFERROR(INDEX(Puntos_Jornada!$B$2:$M$25,MATCH(Plantillas!E158,Puntos_Jornada!$A$2:$A$25,0),MATCH($A158,Puntos_Jornada!$B$1:$M$1,0)),0)</f>
        <v>0</v>
      </c>
      <c r="F158" s="6">
        <f>IFERROR(INDEX(Puntos_Jornada!$B$2:$M$25,MATCH(Plantillas!F158,Puntos_Jornada!$A$2:$A$25,0),MATCH($A158,Puntos_Jornada!$B$1:$M$1,0)),0)</f>
        <v>0</v>
      </c>
      <c r="G158" s="6">
        <f>IFERROR(INDEX(Puntos_Jornada!$B$2:$M$25,MATCH(Plantillas!G158,Puntos_Jornada!$A$2:$A$25,0),MATCH($A158,Puntos_Jornada!$B$1:$M$1,0)),0)</f>
        <v>0</v>
      </c>
      <c r="H158" s="6">
        <f>IFERROR(INDEX(Puntos_Jornada!$B$2:$M$25,MATCH(Plantillas!H158,Puntos_Jornada!$A$2:$A$25,0),MATCH($A158,Puntos_Jornada!$B$1:$M$1,0)),0)</f>
        <v>0</v>
      </c>
      <c r="I158" s="15">
        <f t="shared" si="2"/>
        <v>0</v>
      </c>
    </row>
    <row r="159" spans="1:9" x14ac:dyDescent="0.25">
      <c r="A159" s="6">
        <f>Plantillas!A159</f>
        <v>7</v>
      </c>
      <c r="B159" s="13" t="str">
        <f>Plantillas!B159</f>
        <v>Alumno 14</v>
      </c>
      <c r="C159" s="6">
        <f>IFERROR(INDEX(Puntos_Jornada!$B$2:$M$25,MATCH(Plantillas!C159,Puntos_Jornada!$A$2:$A$25,0),MATCH($A159,Puntos_Jornada!$B$1:$M$1,0)),0)</f>
        <v>0</v>
      </c>
      <c r="D159" s="6">
        <f>IFERROR(INDEX(Puntos_Jornada!$B$2:$M$25,MATCH(Plantillas!D159,Puntos_Jornada!$A$2:$A$25,0),MATCH($A159,Puntos_Jornada!$B$1:$M$1,0)),0)</f>
        <v>0</v>
      </c>
      <c r="E159" s="6">
        <f>IFERROR(INDEX(Puntos_Jornada!$B$2:$M$25,MATCH(Plantillas!E159,Puntos_Jornada!$A$2:$A$25,0),MATCH($A159,Puntos_Jornada!$B$1:$M$1,0)),0)</f>
        <v>0</v>
      </c>
      <c r="F159" s="6">
        <f>IFERROR(INDEX(Puntos_Jornada!$B$2:$M$25,MATCH(Plantillas!F159,Puntos_Jornada!$A$2:$A$25,0),MATCH($A159,Puntos_Jornada!$B$1:$M$1,0)),0)</f>
        <v>0</v>
      </c>
      <c r="G159" s="6">
        <f>IFERROR(INDEX(Puntos_Jornada!$B$2:$M$25,MATCH(Plantillas!G159,Puntos_Jornada!$A$2:$A$25,0),MATCH($A159,Puntos_Jornada!$B$1:$M$1,0)),0)</f>
        <v>0</v>
      </c>
      <c r="H159" s="6">
        <f>IFERROR(INDEX(Puntos_Jornada!$B$2:$M$25,MATCH(Plantillas!H159,Puntos_Jornada!$A$2:$A$25,0),MATCH($A159,Puntos_Jornada!$B$1:$M$1,0)),0)</f>
        <v>0</v>
      </c>
      <c r="I159" s="15">
        <f t="shared" si="2"/>
        <v>0</v>
      </c>
    </row>
    <row r="160" spans="1:9" x14ac:dyDescent="0.25">
      <c r="A160" s="6">
        <f>Plantillas!A160</f>
        <v>7</v>
      </c>
      <c r="B160" s="13" t="str">
        <f>Plantillas!B160</f>
        <v>Alumno 15</v>
      </c>
      <c r="C160" s="6">
        <f>IFERROR(INDEX(Puntos_Jornada!$B$2:$M$25,MATCH(Plantillas!C160,Puntos_Jornada!$A$2:$A$25,0),MATCH($A160,Puntos_Jornada!$B$1:$M$1,0)),0)</f>
        <v>0</v>
      </c>
      <c r="D160" s="6">
        <f>IFERROR(INDEX(Puntos_Jornada!$B$2:$M$25,MATCH(Plantillas!D160,Puntos_Jornada!$A$2:$A$25,0),MATCH($A160,Puntos_Jornada!$B$1:$M$1,0)),0)</f>
        <v>0</v>
      </c>
      <c r="E160" s="6">
        <f>IFERROR(INDEX(Puntos_Jornada!$B$2:$M$25,MATCH(Plantillas!E160,Puntos_Jornada!$A$2:$A$25,0),MATCH($A160,Puntos_Jornada!$B$1:$M$1,0)),0)</f>
        <v>0</v>
      </c>
      <c r="F160" s="6">
        <f>IFERROR(INDEX(Puntos_Jornada!$B$2:$M$25,MATCH(Plantillas!F160,Puntos_Jornada!$A$2:$A$25,0),MATCH($A160,Puntos_Jornada!$B$1:$M$1,0)),0)</f>
        <v>0</v>
      </c>
      <c r="G160" s="6">
        <f>IFERROR(INDEX(Puntos_Jornada!$B$2:$M$25,MATCH(Plantillas!G160,Puntos_Jornada!$A$2:$A$25,0),MATCH($A160,Puntos_Jornada!$B$1:$M$1,0)),0)</f>
        <v>0</v>
      </c>
      <c r="H160" s="6">
        <f>IFERROR(INDEX(Puntos_Jornada!$B$2:$M$25,MATCH(Plantillas!H160,Puntos_Jornada!$A$2:$A$25,0),MATCH($A160,Puntos_Jornada!$B$1:$M$1,0)),0)</f>
        <v>0</v>
      </c>
      <c r="I160" s="15">
        <f t="shared" si="2"/>
        <v>0</v>
      </c>
    </row>
    <row r="161" spans="1:9" x14ac:dyDescent="0.25">
      <c r="A161" s="6">
        <f>Plantillas!A161</f>
        <v>7</v>
      </c>
      <c r="B161" s="13" t="str">
        <f>Plantillas!B161</f>
        <v>Alumno 16</v>
      </c>
      <c r="C161" s="6">
        <f>IFERROR(INDEX(Puntos_Jornada!$B$2:$M$25,MATCH(Plantillas!C161,Puntos_Jornada!$A$2:$A$25,0),MATCH($A161,Puntos_Jornada!$B$1:$M$1,0)),0)</f>
        <v>0</v>
      </c>
      <c r="D161" s="6">
        <f>IFERROR(INDEX(Puntos_Jornada!$B$2:$M$25,MATCH(Plantillas!D161,Puntos_Jornada!$A$2:$A$25,0),MATCH($A161,Puntos_Jornada!$B$1:$M$1,0)),0)</f>
        <v>0</v>
      </c>
      <c r="E161" s="6">
        <f>IFERROR(INDEX(Puntos_Jornada!$B$2:$M$25,MATCH(Plantillas!E161,Puntos_Jornada!$A$2:$A$25,0),MATCH($A161,Puntos_Jornada!$B$1:$M$1,0)),0)</f>
        <v>0</v>
      </c>
      <c r="F161" s="6">
        <f>IFERROR(INDEX(Puntos_Jornada!$B$2:$M$25,MATCH(Plantillas!F161,Puntos_Jornada!$A$2:$A$25,0),MATCH($A161,Puntos_Jornada!$B$1:$M$1,0)),0)</f>
        <v>0</v>
      </c>
      <c r="G161" s="6">
        <f>IFERROR(INDEX(Puntos_Jornada!$B$2:$M$25,MATCH(Plantillas!G161,Puntos_Jornada!$A$2:$A$25,0),MATCH($A161,Puntos_Jornada!$B$1:$M$1,0)),0)</f>
        <v>0</v>
      </c>
      <c r="H161" s="6">
        <f>IFERROR(INDEX(Puntos_Jornada!$B$2:$M$25,MATCH(Plantillas!H161,Puntos_Jornada!$A$2:$A$25,0),MATCH($A161,Puntos_Jornada!$B$1:$M$1,0)),0)</f>
        <v>0</v>
      </c>
      <c r="I161" s="15">
        <f t="shared" si="2"/>
        <v>0</v>
      </c>
    </row>
    <row r="162" spans="1:9" x14ac:dyDescent="0.25">
      <c r="A162" s="6">
        <f>Plantillas!A162</f>
        <v>7</v>
      </c>
      <c r="B162" s="13" t="str">
        <f>Plantillas!B162</f>
        <v>Alumno 17</v>
      </c>
      <c r="C162" s="6">
        <f>IFERROR(INDEX(Puntos_Jornada!$B$2:$M$25,MATCH(Plantillas!C162,Puntos_Jornada!$A$2:$A$25,0),MATCH($A162,Puntos_Jornada!$B$1:$M$1,0)),0)</f>
        <v>0</v>
      </c>
      <c r="D162" s="6">
        <f>IFERROR(INDEX(Puntos_Jornada!$B$2:$M$25,MATCH(Plantillas!D162,Puntos_Jornada!$A$2:$A$25,0),MATCH($A162,Puntos_Jornada!$B$1:$M$1,0)),0)</f>
        <v>0</v>
      </c>
      <c r="E162" s="6">
        <f>IFERROR(INDEX(Puntos_Jornada!$B$2:$M$25,MATCH(Plantillas!E162,Puntos_Jornada!$A$2:$A$25,0),MATCH($A162,Puntos_Jornada!$B$1:$M$1,0)),0)</f>
        <v>0</v>
      </c>
      <c r="F162" s="6">
        <f>IFERROR(INDEX(Puntos_Jornada!$B$2:$M$25,MATCH(Plantillas!F162,Puntos_Jornada!$A$2:$A$25,0),MATCH($A162,Puntos_Jornada!$B$1:$M$1,0)),0)</f>
        <v>0</v>
      </c>
      <c r="G162" s="6">
        <f>IFERROR(INDEX(Puntos_Jornada!$B$2:$M$25,MATCH(Plantillas!G162,Puntos_Jornada!$A$2:$A$25,0),MATCH($A162,Puntos_Jornada!$B$1:$M$1,0)),0)</f>
        <v>0</v>
      </c>
      <c r="H162" s="6">
        <f>IFERROR(INDEX(Puntos_Jornada!$B$2:$M$25,MATCH(Plantillas!H162,Puntos_Jornada!$A$2:$A$25,0),MATCH($A162,Puntos_Jornada!$B$1:$M$1,0)),0)</f>
        <v>0</v>
      </c>
      <c r="I162" s="15">
        <f t="shared" si="2"/>
        <v>0</v>
      </c>
    </row>
    <row r="163" spans="1:9" x14ac:dyDescent="0.25">
      <c r="A163" s="6">
        <f>Plantillas!A163</f>
        <v>7</v>
      </c>
      <c r="B163" s="13" t="str">
        <f>Plantillas!B163</f>
        <v>Alumno 18</v>
      </c>
      <c r="C163" s="6">
        <f>IFERROR(INDEX(Puntos_Jornada!$B$2:$M$25,MATCH(Plantillas!C163,Puntos_Jornada!$A$2:$A$25,0),MATCH($A163,Puntos_Jornada!$B$1:$M$1,0)),0)</f>
        <v>0</v>
      </c>
      <c r="D163" s="6">
        <f>IFERROR(INDEX(Puntos_Jornada!$B$2:$M$25,MATCH(Plantillas!D163,Puntos_Jornada!$A$2:$A$25,0),MATCH($A163,Puntos_Jornada!$B$1:$M$1,0)),0)</f>
        <v>0</v>
      </c>
      <c r="E163" s="6">
        <f>IFERROR(INDEX(Puntos_Jornada!$B$2:$M$25,MATCH(Plantillas!E163,Puntos_Jornada!$A$2:$A$25,0),MATCH($A163,Puntos_Jornada!$B$1:$M$1,0)),0)</f>
        <v>0</v>
      </c>
      <c r="F163" s="6">
        <f>IFERROR(INDEX(Puntos_Jornada!$B$2:$M$25,MATCH(Plantillas!F163,Puntos_Jornada!$A$2:$A$25,0),MATCH($A163,Puntos_Jornada!$B$1:$M$1,0)),0)</f>
        <v>0</v>
      </c>
      <c r="G163" s="6">
        <f>IFERROR(INDEX(Puntos_Jornada!$B$2:$M$25,MATCH(Plantillas!G163,Puntos_Jornada!$A$2:$A$25,0),MATCH($A163,Puntos_Jornada!$B$1:$M$1,0)),0)</f>
        <v>0</v>
      </c>
      <c r="H163" s="6">
        <f>IFERROR(INDEX(Puntos_Jornada!$B$2:$M$25,MATCH(Plantillas!H163,Puntos_Jornada!$A$2:$A$25,0),MATCH($A163,Puntos_Jornada!$B$1:$M$1,0)),0)</f>
        <v>0</v>
      </c>
      <c r="I163" s="15">
        <f t="shared" si="2"/>
        <v>0</v>
      </c>
    </row>
    <row r="164" spans="1:9" x14ac:dyDescent="0.25">
      <c r="A164" s="6">
        <f>Plantillas!A164</f>
        <v>7</v>
      </c>
      <c r="B164" s="13" t="str">
        <f>Plantillas!B164</f>
        <v>Alumno 19</v>
      </c>
      <c r="C164" s="6">
        <f>IFERROR(INDEX(Puntos_Jornada!$B$2:$M$25,MATCH(Plantillas!C164,Puntos_Jornada!$A$2:$A$25,0),MATCH($A164,Puntos_Jornada!$B$1:$M$1,0)),0)</f>
        <v>0</v>
      </c>
      <c r="D164" s="6">
        <f>IFERROR(INDEX(Puntos_Jornada!$B$2:$M$25,MATCH(Plantillas!D164,Puntos_Jornada!$A$2:$A$25,0),MATCH($A164,Puntos_Jornada!$B$1:$M$1,0)),0)</f>
        <v>0</v>
      </c>
      <c r="E164" s="6">
        <f>IFERROR(INDEX(Puntos_Jornada!$B$2:$M$25,MATCH(Plantillas!E164,Puntos_Jornada!$A$2:$A$25,0),MATCH($A164,Puntos_Jornada!$B$1:$M$1,0)),0)</f>
        <v>0</v>
      </c>
      <c r="F164" s="6">
        <f>IFERROR(INDEX(Puntos_Jornada!$B$2:$M$25,MATCH(Plantillas!F164,Puntos_Jornada!$A$2:$A$25,0),MATCH($A164,Puntos_Jornada!$B$1:$M$1,0)),0)</f>
        <v>0</v>
      </c>
      <c r="G164" s="6">
        <f>IFERROR(INDEX(Puntos_Jornada!$B$2:$M$25,MATCH(Plantillas!G164,Puntos_Jornada!$A$2:$A$25,0),MATCH($A164,Puntos_Jornada!$B$1:$M$1,0)),0)</f>
        <v>0</v>
      </c>
      <c r="H164" s="6">
        <f>IFERROR(INDEX(Puntos_Jornada!$B$2:$M$25,MATCH(Plantillas!H164,Puntos_Jornada!$A$2:$A$25,0),MATCH($A164,Puntos_Jornada!$B$1:$M$1,0)),0)</f>
        <v>0</v>
      </c>
      <c r="I164" s="15">
        <f t="shared" si="2"/>
        <v>0</v>
      </c>
    </row>
    <row r="165" spans="1:9" x14ac:dyDescent="0.25">
      <c r="A165" s="6">
        <f>Plantillas!A165</f>
        <v>7</v>
      </c>
      <c r="B165" s="13" t="str">
        <f>Plantillas!B165</f>
        <v>Alumno 20</v>
      </c>
      <c r="C165" s="6">
        <f>IFERROR(INDEX(Puntos_Jornada!$B$2:$M$25,MATCH(Plantillas!C165,Puntos_Jornada!$A$2:$A$25,0),MATCH($A165,Puntos_Jornada!$B$1:$M$1,0)),0)</f>
        <v>0</v>
      </c>
      <c r="D165" s="6">
        <f>IFERROR(INDEX(Puntos_Jornada!$B$2:$M$25,MATCH(Plantillas!D165,Puntos_Jornada!$A$2:$A$25,0),MATCH($A165,Puntos_Jornada!$B$1:$M$1,0)),0)</f>
        <v>0</v>
      </c>
      <c r="E165" s="6">
        <f>IFERROR(INDEX(Puntos_Jornada!$B$2:$M$25,MATCH(Plantillas!E165,Puntos_Jornada!$A$2:$A$25,0),MATCH($A165,Puntos_Jornada!$B$1:$M$1,0)),0)</f>
        <v>0</v>
      </c>
      <c r="F165" s="6">
        <f>IFERROR(INDEX(Puntos_Jornada!$B$2:$M$25,MATCH(Plantillas!F165,Puntos_Jornada!$A$2:$A$25,0),MATCH($A165,Puntos_Jornada!$B$1:$M$1,0)),0)</f>
        <v>0</v>
      </c>
      <c r="G165" s="6">
        <f>IFERROR(INDEX(Puntos_Jornada!$B$2:$M$25,MATCH(Plantillas!G165,Puntos_Jornada!$A$2:$A$25,0),MATCH($A165,Puntos_Jornada!$B$1:$M$1,0)),0)</f>
        <v>0</v>
      </c>
      <c r="H165" s="6">
        <f>IFERROR(INDEX(Puntos_Jornada!$B$2:$M$25,MATCH(Plantillas!H165,Puntos_Jornada!$A$2:$A$25,0),MATCH($A165,Puntos_Jornada!$B$1:$M$1,0)),0)</f>
        <v>0</v>
      </c>
      <c r="I165" s="15">
        <f t="shared" si="2"/>
        <v>0</v>
      </c>
    </row>
    <row r="166" spans="1:9" x14ac:dyDescent="0.25">
      <c r="A166" s="6">
        <f>Plantillas!A166</f>
        <v>7</v>
      </c>
      <c r="B166" s="13" t="str">
        <f>Plantillas!B166</f>
        <v>Alumno 21</v>
      </c>
      <c r="C166" s="6">
        <f>IFERROR(INDEX(Puntos_Jornada!$B$2:$M$25,MATCH(Plantillas!C166,Puntos_Jornada!$A$2:$A$25,0),MATCH($A166,Puntos_Jornada!$B$1:$M$1,0)),0)</f>
        <v>0</v>
      </c>
      <c r="D166" s="6">
        <f>IFERROR(INDEX(Puntos_Jornada!$B$2:$M$25,MATCH(Plantillas!D166,Puntos_Jornada!$A$2:$A$25,0),MATCH($A166,Puntos_Jornada!$B$1:$M$1,0)),0)</f>
        <v>0</v>
      </c>
      <c r="E166" s="6">
        <f>IFERROR(INDEX(Puntos_Jornada!$B$2:$M$25,MATCH(Plantillas!E166,Puntos_Jornada!$A$2:$A$25,0),MATCH($A166,Puntos_Jornada!$B$1:$M$1,0)),0)</f>
        <v>0</v>
      </c>
      <c r="F166" s="6">
        <f>IFERROR(INDEX(Puntos_Jornada!$B$2:$M$25,MATCH(Plantillas!F166,Puntos_Jornada!$A$2:$A$25,0),MATCH($A166,Puntos_Jornada!$B$1:$M$1,0)),0)</f>
        <v>0</v>
      </c>
      <c r="G166" s="6">
        <f>IFERROR(INDEX(Puntos_Jornada!$B$2:$M$25,MATCH(Plantillas!G166,Puntos_Jornada!$A$2:$A$25,0),MATCH($A166,Puntos_Jornada!$B$1:$M$1,0)),0)</f>
        <v>0</v>
      </c>
      <c r="H166" s="6">
        <f>IFERROR(INDEX(Puntos_Jornada!$B$2:$M$25,MATCH(Plantillas!H166,Puntos_Jornada!$A$2:$A$25,0),MATCH($A166,Puntos_Jornada!$B$1:$M$1,0)),0)</f>
        <v>0</v>
      </c>
      <c r="I166" s="15">
        <f t="shared" si="2"/>
        <v>0</v>
      </c>
    </row>
    <row r="167" spans="1:9" x14ac:dyDescent="0.25">
      <c r="A167" s="6">
        <f>Plantillas!A167</f>
        <v>7</v>
      </c>
      <c r="B167" s="13" t="str">
        <f>Plantillas!B167</f>
        <v>Alumno 22</v>
      </c>
      <c r="C167" s="6">
        <f>IFERROR(INDEX(Puntos_Jornada!$B$2:$M$25,MATCH(Plantillas!C167,Puntos_Jornada!$A$2:$A$25,0),MATCH($A167,Puntos_Jornada!$B$1:$M$1,0)),0)</f>
        <v>0</v>
      </c>
      <c r="D167" s="6">
        <f>IFERROR(INDEX(Puntos_Jornada!$B$2:$M$25,MATCH(Plantillas!D167,Puntos_Jornada!$A$2:$A$25,0),MATCH($A167,Puntos_Jornada!$B$1:$M$1,0)),0)</f>
        <v>0</v>
      </c>
      <c r="E167" s="6">
        <f>IFERROR(INDEX(Puntos_Jornada!$B$2:$M$25,MATCH(Plantillas!E167,Puntos_Jornada!$A$2:$A$25,0),MATCH($A167,Puntos_Jornada!$B$1:$M$1,0)),0)</f>
        <v>0</v>
      </c>
      <c r="F167" s="6">
        <f>IFERROR(INDEX(Puntos_Jornada!$B$2:$M$25,MATCH(Plantillas!F167,Puntos_Jornada!$A$2:$A$25,0),MATCH($A167,Puntos_Jornada!$B$1:$M$1,0)),0)</f>
        <v>0</v>
      </c>
      <c r="G167" s="6">
        <f>IFERROR(INDEX(Puntos_Jornada!$B$2:$M$25,MATCH(Plantillas!G167,Puntos_Jornada!$A$2:$A$25,0),MATCH($A167,Puntos_Jornada!$B$1:$M$1,0)),0)</f>
        <v>0</v>
      </c>
      <c r="H167" s="6">
        <f>IFERROR(INDEX(Puntos_Jornada!$B$2:$M$25,MATCH(Plantillas!H167,Puntos_Jornada!$A$2:$A$25,0),MATCH($A167,Puntos_Jornada!$B$1:$M$1,0)),0)</f>
        <v>0</v>
      </c>
      <c r="I167" s="15">
        <f t="shared" si="2"/>
        <v>0</v>
      </c>
    </row>
    <row r="168" spans="1:9" x14ac:dyDescent="0.25">
      <c r="A168" s="6">
        <f>Plantillas!A168</f>
        <v>7</v>
      </c>
      <c r="B168" s="13" t="str">
        <f>Plantillas!B168</f>
        <v>Alumno 23</v>
      </c>
      <c r="C168" s="6">
        <f>IFERROR(INDEX(Puntos_Jornada!$B$2:$M$25,MATCH(Plantillas!C168,Puntos_Jornada!$A$2:$A$25,0),MATCH($A168,Puntos_Jornada!$B$1:$M$1,0)),0)</f>
        <v>0</v>
      </c>
      <c r="D168" s="6">
        <f>IFERROR(INDEX(Puntos_Jornada!$B$2:$M$25,MATCH(Plantillas!D168,Puntos_Jornada!$A$2:$A$25,0),MATCH($A168,Puntos_Jornada!$B$1:$M$1,0)),0)</f>
        <v>0</v>
      </c>
      <c r="E168" s="6">
        <f>IFERROR(INDEX(Puntos_Jornada!$B$2:$M$25,MATCH(Plantillas!E168,Puntos_Jornada!$A$2:$A$25,0),MATCH($A168,Puntos_Jornada!$B$1:$M$1,0)),0)</f>
        <v>0</v>
      </c>
      <c r="F168" s="6">
        <f>IFERROR(INDEX(Puntos_Jornada!$B$2:$M$25,MATCH(Plantillas!F168,Puntos_Jornada!$A$2:$A$25,0),MATCH($A168,Puntos_Jornada!$B$1:$M$1,0)),0)</f>
        <v>0</v>
      </c>
      <c r="G168" s="6">
        <f>IFERROR(INDEX(Puntos_Jornada!$B$2:$M$25,MATCH(Plantillas!G168,Puntos_Jornada!$A$2:$A$25,0),MATCH($A168,Puntos_Jornada!$B$1:$M$1,0)),0)</f>
        <v>0</v>
      </c>
      <c r="H168" s="6">
        <f>IFERROR(INDEX(Puntos_Jornada!$B$2:$M$25,MATCH(Plantillas!H168,Puntos_Jornada!$A$2:$A$25,0),MATCH($A168,Puntos_Jornada!$B$1:$M$1,0)),0)</f>
        <v>0</v>
      </c>
      <c r="I168" s="15">
        <f t="shared" si="2"/>
        <v>0</v>
      </c>
    </row>
    <row r="169" spans="1:9" x14ac:dyDescent="0.25">
      <c r="A169" s="6">
        <f>Plantillas!A169</f>
        <v>7</v>
      </c>
      <c r="B169" s="13" t="str">
        <f>Plantillas!B169</f>
        <v>Alumno 24</v>
      </c>
      <c r="C169" s="6">
        <f>IFERROR(INDEX(Puntos_Jornada!$B$2:$M$25,MATCH(Plantillas!C169,Puntos_Jornada!$A$2:$A$25,0),MATCH($A169,Puntos_Jornada!$B$1:$M$1,0)),0)</f>
        <v>0</v>
      </c>
      <c r="D169" s="6">
        <f>IFERROR(INDEX(Puntos_Jornada!$B$2:$M$25,MATCH(Plantillas!D169,Puntos_Jornada!$A$2:$A$25,0),MATCH($A169,Puntos_Jornada!$B$1:$M$1,0)),0)</f>
        <v>0</v>
      </c>
      <c r="E169" s="6">
        <f>IFERROR(INDEX(Puntos_Jornada!$B$2:$M$25,MATCH(Plantillas!E169,Puntos_Jornada!$A$2:$A$25,0),MATCH($A169,Puntos_Jornada!$B$1:$M$1,0)),0)</f>
        <v>0</v>
      </c>
      <c r="F169" s="6">
        <f>IFERROR(INDEX(Puntos_Jornada!$B$2:$M$25,MATCH(Plantillas!F169,Puntos_Jornada!$A$2:$A$25,0),MATCH($A169,Puntos_Jornada!$B$1:$M$1,0)),0)</f>
        <v>0</v>
      </c>
      <c r="G169" s="6">
        <f>IFERROR(INDEX(Puntos_Jornada!$B$2:$M$25,MATCH(Plantillas!G169,Puntos_Jornada!$A$2:$A$25,0),MATCH($A169,Puntos_Jornada!$B$1:$M$1,0)),0)</f>
        <v>0</v>
      </c>
      <c r="H169" s="6">
        <f>IFERROR(INDEX(Puntos_Jornada!$B$2:$M$25,MATCH(Plantillas!H169,Puntos_Jornada!$A$2:$A$25,0),MATCH($A169,Puntos_Jornada!$B$1:$M$1,0)),0)</f>
        <v>0</v>
      </c>
      <c r="I169" s="15">
        <f t="shared" si="2"/>
        <v>0</v>
      </c>
    </row>
    <row r="170" spans="1:9" x14ac:dyDescent="0.25">
      <c r="A170" s="6">
        <f>Plantillas!A170</f>
        <v>8</v>
      </c>
      <c r="B170" s="13" t="str">
        <f>Plantillas!B170</f>
        <v>Alumno 1</v>
      </c>
      <c r="C170" s="6">
        <f>IFERROR(INDEX(Puntos_Jornada!$B$2:$M$25,MATCH(Plantillas!C170,Puntos_Jornada!$A$2:$A$25,0),MATCH($A170,Puntos_Jornada!$B$1:$M$1,0)),0)</f>
        <v>0</v>
      </c>
      <c r="D170" s="6">
        <f>IFERROR(INDEX(Puntos_Jornada!$B$2:$M$25,MATCH(Plantillas!D170,Puntos_Jornada!$A$2:$A$25,0),MATCH($A170,Puntos_Jornada!$B$1:$M$1,0)),0)</f>
        <v>0</v>
      </c>
      <c r="E170" s="6">
        <f>IFERROR(INDEX(Puntos_Jornada!$B$2:$M$25,MATCH(Plantillas!E170,Puntos_Jornada!$A$2:$A$25,0),MATCH($A170,Puntos_Jornada!$B$1:$M$1,0)),0)</f>
        <v>0</v>
      </c>
      <c r="F170" s="6">
        <f>IFERROR(INDEX(Puntos_Jornada!$B$2:$M$25,MATCH(Plantillas!F170,Puntos_Jornada!$A$2:$A$25,0),MATCH($A170,Puntos_Jornada!$B$1:$M$1,0)),0)</f>
        <v>0</v>
      </c>
      <c r="G170" s="6">
        <f>IFERROR(INDEX(Puntos_Jornada!$B$2:$M$25,MATCH(Plantillas!G170,Puntos_Jornada!$A$2:$A$25,0),MATCH($A170,Puntos_Jornada!$B$1:$M$1,0)),0)</f>
        <v>0</v>
      </c>
      <c r="H170" s="6">
        <f>IFERROR(INDEX(Puntos_Jornada!$B$2:$M$25,MATCH(Plantillas!H170,Puntos_Jornada!$A$2:$A$25,0),MATCH($A170,Puntos_Jornada!$B$1:$M$1,0)),0)</f>
        <v>0</v>
      </c>
      <c r="I170" s="15">
        <f t="shared" si="2"/>
        <v>0</v>
      </c>
    </row>
    <row r="171" spans="1:9" x14ac:dyDescent="0.25">
      <c r="A171" s="6">
        <f>Plantillas!A171</f>
        <v>8</v>
      </c>
      <c r="B171" s="13" t="str">
        <f>Plantillas!B171</f>
        <v>Alumno 2</v>
      </c>
      <c r="C171" s="6">
        <f>IFERROR(INDEX(Puntos_Jornada!$B$2:$M$25,MATCH(Plantillas!C171,Puntos_Jornada!$A$2:$A$25,0),MATCH($A171,Puntos_Jornada!$B$1:$M$1,0)),0)</f>
        <v>0</v>
      </c>
      <c r="D171" s="6">
        <f>IFERROR(INDEX(Puntos_Jornada!$B$2:$M$25,MATCH(Plantillas!D171,Puntos_Jornada!$A$2:$A$25,0),MATCH($A171,Puntos_Jornada!$B$1:$M$1,0)),0)</f>
        <v>0</v>
      </c>
      <c r="E171" s="6">
        <f>IFERROR(INDEX(Puntos_Jornada!$B$2:$M$25,MATCH(Plantillas!E171,Puntos_Jornada!$A$2:$A$25,0),MATCH($A171,Puntos_Jornada!$B$1:$M$1,0)),0)</f>
        <v>0</v>
      </c>
      <c r="F171" s="6">
        <f>IFERROR(INDEX(Puntos_Jornada!$B$2:$M$25,MATCH(Plantillas!F171,Puntos_Jornada!$A$2:$A$25,0),MATCH($A171,Puntos_Jornada!$B$1:$M$1,0)),0)</f>
        <v>0</v>
      </c>
      <c r="G171" s="6">
        <f>IFERROR(INDEX(Puntos_Jornada!$B$2:$M$25,MATCH(Plantillas!G171,Puntos_Jornada!$A$2:$A$25,0),MATCH($A171,Puntos_Jornada!$B$1:$M$1,0)),0)</f>
        <v>0</v>
      </c>
      <c r="H171" s="6">
        <f>IFERROR(INDEX(Puntos_Jornada!$B$2:$M$25,MATCH(Plantillas!H171,Puntos_Jornada!$A$2:$A$25,0),MATCH($A171,Puntos_Jornada!$B$1:$M$1,0)),0)</f>
        <v>0</v>
      </c>
      <c r="I171" s="15">
        <f t="shared" si="2"/>
        <v>0</v>
      </c>
    </row>
    <row r="172" spans="1:9" x14ac:dyDescent="0.25">
      <c r="A172" s="6">
        <f>Plantillas!A172</f>
        <v>8</v>
      </c>
      <c r="B172" s="13" t="str">
        <f>Plantillas!B172</f>
        <v>Alumno 3</v>
      </c>
      <c r="C172" s="6">
        <f>IFERROR(INDEX(Puntos_Jornada!$B$2:$M$25,MATCH(Plantillas!C172,Puntos_Jornada!$A$2:$A$25,0),MATCH($A172,Puntos_Jornada!$B$1:$M$1,0)),0)</f>
        <v>0</v>
      </c>
      <c r="D172" s="6">
        <f>IFERROR(INDEX(Puntos_Jornada!$B$2:$M$25,MATCH(Plantillas!D172,Puntos_Jornada!$A$2:$A$25,0),MATCH($A172,Puntos_Jornada!$B$1:$M$1,0)),0)</f>
        <v>0</v>
      </c>
      <c r="E172" s="6">
        <f>IFERROR(INDEX(Puntos_Jornada!$B$2:$M$25,MATCH(Plantillas!E172,Puntos_Jornada!$A$2:$A$25,0),MATCH($A172,Puntos_Jornada!$B$1:$M$1,0)),0)</f>
        <v>0</v>
      </c>
      <c r="F172" s="6">
        <f>IFERROR(INDEX(Puntos_Jornada!$B$2:$M$25,MATCH(Plantillas!F172,Puntos_Jornada!$A$2:$A$25,0),MATCH($A172,Puntos_Jornada!$B$1:$M$1,0)),0)</f>
        <v>0</v>
      </c>
      <c r="G172" s="6">
        <f>IFERROR(INDEX(Puntos_Jornada!$B$2:$M$25,MATCH(Plantillas!G172,Puntos_Jornada!$A$2:$A$25,0),MATCH($A172,Puntos_Jornada!$B$1:$M$1,0)),0)</f>
        <v>0</v>
      </c>
      <c r="H172" s="6">
        <f>IFERROR(INDEX(Puntos_Jornada!$B$2:$M$25,MATCH(Plantillas!H172,Puntos_Jornada!$A$2:$A$25,0),MATCH($A172,Puntos_Jornada!$B$1:$M$1,0)),0)</f>
        <v>0</v>
      </c>
      <c r="I172" s="15">
        <f t="shared" si="2"/>
        <v>0</v>
      </c>
    </row>
    <row r="173" spans="1:9" x14ac:dyDescent="0.25">
      <c r="A173" s="6">
        <f>Plantillas!A173</f>
        <v>8</v>
      </c>
      <c r="B173" s="13" t="str">
        <f>Plantillas!B173</f>
        <v>Alumno 4</v>
      </c>
      <c r="C173" s="6">
        <f>IFERROR(INDEX(Puntos_Jornada!$B$2:$M$25,MATCH(Plantillas!C173,Puntos_Jornada!$A$2:$A$25,0),MATCH($A173,Puntos_Jornada!$B$1:$M$1,0)),0)</f>
        <v>0</v>
      </c>
      <c r="D173" s="6">
        <f>IFERROR(INDEX(Puntos_Jornada!$B$2:$M$25,MATCH(Plantillas!D173,Puntos_Jornada!$A$2:$A$25,0),MATCH($A173,Puntos_Jornada!$B$1:$M$1,0)),0)</f>
        <v>0</v>
      </c>
      <c r="E173" s="6">
        <f>IFERROR(INDEX(Puntos_Jornada!$B$2:$M$25,MATCH(Plantillas!E173,Puntos_Jornada!$A$2:$A$25,0),MATCH($A173,Puntos_Jornada!$B$1:$M$1,0)),0)</f>
        <v>0</v>
      </c>
      <c r="F173" s="6">
        <f>IFERROR(INDEX(Puntos_Jornada!$B$2:$M$25,MATCH(Plantillas!F173,Puntos_Jornada!$A$2:$A$25,0),MATCH($A173,Puntos_Jornada!$B$1:$M$1,0)),0)</f>
        <v>0</v>
      </c>
      <c r="G173" s="6">
        <f>IFERROR(INDEX(Puntos_Jornada!$B$2:$M$25,MATCH(Plantillas!G173,Puntos_Jornada!$A$2:$A$25,0),MATCH($A173,Puntos_Jornada!$B$1:$M$1,0)),0)</f>
        <v>0</v>
      </c>
      <c r="H173" s="6">
        <f>IFERROR(INDEX(Puntos_Jornada!$B$2:$M$25,MATCH(Plantillas!H173,Puntos_Jornada!$A$2:$A$25,0),MATCH($A173,Puntos_Jornada!$B$1:$M$1,0)),0)</f>
        <v>0</v>
      </c>
      <c r="I173" s="15">
        <f t="shared" si="2"/>
        <v>0</v>
      </c>
    </row>
    <row r="174" spans="1:9" x14ac:dyDescent="0.25">
      <c r="A174" s="6">
        <f>Plantillas!A174</f>
        <v>8</v>
      </c>
      <c r="B174" s="13" t="str">
        <f>Plantillas!B174</f>
        <v>Alumno 5</v>
      </c>
      <c r="C174" s="6">
        <f>IFERROR(INDEX(Puntos_Jornada!$B$2:$M$25,MATCH(Plantillas!C174,Puntos_Jornada!$A$2:$A$25,0),MATCH($A174,Puntos_Jornada!$B$1:$M$1,0)),0)</f>
        <v>0</v>
      </c>
      <c r="D174" s="6">
        <f>IFERROR(INDEX(Puntos_Jornada!$B$2:$M$25,MATCH(Plantillas!D174,Puntos_Jornada!$A$2:$A$25,0),MATCH($A174,Puntos_Jornada!$B$1:$M$1,0)),0)</f>
        <v>0</v>
      </c>
      <c r="E174" s="6">
        <f>IFERROR(INDEX(Puntos_Jornada!$B$2:$M$25,MATCH(Plantillas!E174,Puntos_Jornada!$A$2:$A$25,0),MATCH($A174,Puntos_Jornada!$B$1:$M$1,0)),0)</f>
        <v>0</v>
      </c>
      <c r="F174" s="6">
        <f>IFERROR(INDEX(Puntos_Jornada!$B$2:$M$25,MATCH(Plantillas!F174,Puntos_Jornada!$A$2:$A$25,0),MATCH($A174,Puntos_Jornada!$B$1:$M$1,0)),0)</f>
        <v>0</v>
      </c>
      <c r="G174" s="6">
        <f>IFERROR(INDEX(Puntos_Jornada!$B$2:$M$25,MATCH(Plantillas!G174,Puntos_Jornada!$A$2:$A$25,0),MATCH($A174,Puntos_Jornada!$B$1:$M$1,0)),0)</f>
        <v>0</v>
      </c>
      <c r="H174" s="6">
        <f>IFERROR(INDEX(Puntos_Jornada!$B$2:$M$25,MATCH(Plantillas!H174,Puntos_Jornada!$A$2:$A$25,0),MATCH($A174,Puntos_Jornada!$B$1:$M$1,0)),0)</f>
        <v>0</v>
      </c>
      <c r="I174" s="15">
        <f t="shared" si="2"/>
        <v>0</v>
      </c>
    </row>
    <row r="175" spans="1:9" x14ac:dyDescent="0.25">
      <c r="A175" s="6">
        <f>Plantillas!A175</f>
        <v>8</v>
      </c>
      <c r="B175" s="13" t="str">
        <f>Plantillas!B175</f>
        <v>Alumno 6</v>
      </c>
      <c r="C175" s="6">
        <f>IFERROR(INDEX(Puntos_Jornada!$B$2:$M$25,MATCH(Plantillas!C175,Puntos_Jornada!$A$2:$A$25,0),MATCH($A175,Puntos_Jornada!$B$1:$M$1,0)),0)</f>
        <v>0</v>
      </c>
      <c r="D175" s="6">
        <f>IFERROR(INDEX(Puntos_Jornada!$B$2:$M$25,MATCH(Plantillas!D175,Puntos_Jornada!$A$2:$A$25,0),MATCH($A175,Puntos_Jornada!$B$1:$M$1,0)),0)</f>
        <v>0</v>
      </c>
      <c r="E175" s="6">
        <f>IFERROR(INDEX(Puntos_Jornada!$B$2:$M$25,MATCH(Plantillas!E175,Puntos_Jornada!$A$2:$A$25,0),MATCH($A175,Puntos_Jornada!$B$1:$M$1,0)),0)</f>
        <v>0</v>
      </c>
      <c r="F175" s="6">
        <f>IFERROR(INDEX(Puntos_Jornada!$B$2:$M$25,MATCH(Plantillas!F175,Puntos_Jornada!$A$2:$A$25,0),MATCH($A175,Puntos_Jornada!$B$1:$M$1,0)),0)</f>
        <v>0</v>
      </c>
      <c r="G175" s="6">
        <f>IFERROR(INDEX(Puntos_Jornada!$B$2:$M$25,MATCH(Plantillas!G175,Puntos_Jornada!$A$2:$A$25,0),MATCH($A175,Puntos_Jornada!$B$1:$M$1,0)),0)</f>
        <v>0</v>
      </c>
      <c r="H175" s="6">
        <f>IFERROR(INDEX(Puntos_Jornada!$B$2:$M$25,MATCH(Plantillas!H175,Puntos_Jornada!$A$2:$A$25,0),MATCH($A175,Puntos_Jornada!$B$1:$M$1,0)),0)</f>
        <v>0</v>
      </c>
      <c r="I175" s="15">
        <f t="shared" si="2"/>
        <v>0</v>
      </c>
    </row>
    <row r="176" spans="1:9" x14ac:dyDescent="0.25">
      <c r="A176" s="6">
        <f>Plantillas!A176</f>
        <v>8</v>
      </c>
      <c r="B176" s="13" t="str">
        <f>Plantillas!B176</f>
        <v>Alumno 7</v>
      </c>
      <c r="C176" s="6">
        <f>IFERROR(INDEX(Puntos_Jornada!$B$2:$M$25,MATCH(Plantillas!C176,Puntos_Jornada!$A$2:$A$25,0),MATCH($A176,Puntos_Jornada!$B$1:$M$1,0)),0)</f>
        <v>0</v>
      </c>
      <c r="D176" s="6">
        <f>IFERROR(INDEX(Puntos_Jornada!$B$2:$M$25,MATCH(Plantillas!D176,Puntos_Jornada!$A$2:$A$25,0),MATCH($A176,Puntos_Jornada!$B$1:$M$1,0)),0)</f>
        <v>0</v>
      </c>
      <c r="E176" s="6">
        <f>IFERROR(INDEX(Puntos_Jornada!$B$2:$M$25,MATCH(Plantillas!E176,Puntos_Jornada!$A$2:$A$25,0),MATCH($A176,Puntos_Jornada!$B$1:$M$1,0)),0)</f>
        <v>0</v>
      </c>
      <c r="F176" s="6">
        <f>IFERROR(INDEX(Puntos_Jornada!$B$2:$M$25,MATCH(Plantillas!F176,Puntos_Jornada!$A$2:$A$25,0),MATCH($A176,Puntos_Jornada!$B$1:$M$1,0)),0)</f>
        <v>0</v>
      </c>
      <c r="G176" s="6">
        <f>IFERROR(INDEX(Puntos_Jornada!$B$2:$M$25,MATCH(Plantillas!G176,Puntos_Jornada!$A$2:$A$25,0),MATCH($A176,Puntos_Jornada!$B$1:$M$1,0)),0)</f>
        <v>0</v>
      </c>
      <c r="H176" s="6">
        <f>IFERROR(INDEX(Puntos_Jornada!$B$2:$M$25,MATCH(Plantillas!H176,Puntos_Jornada!$A$2:$A$25,0),MATCH($A176,Puntos_Jornada!$B$1:$M$1,0)),0)</f>
        <v>0</v>
      </c>
      <c r="I176" s="15">
        <f t="shared" si="2"/>
        <v>0</v>
      </c>
    </row>
    <row r="177" spans="1:9" x14ac:dyDescent="0.25">
      <c r="A177" s="6">
        <f>Plantillas!A177</f>
        <v>8</v>
      </c>
      <c r="B177" s="13" t="str">
        <f>Plantillas!B177</f>
        <v>Alumno 8</v>
      </c>
      <c r="C177" s="6">
        <f>IFERROR(INDEX(Puntos_Jornada!$B$2:$M$25,MATCH(Plantillas!C177,Puntos_Jornada!$A$2:$A$25,0),MATCH($A177,Puntos_Jornada!$B$1:$M$1,0)),0)</f>
        <v>0</v>
      </c>
      <c r="D177" s="6">
        <f>IFERROR(INDEX(Puntos_Jornada!$B$2:$M$25,MATCH(Plantillas!D177,Puntos_Jornada!$A$2:$A$25,0),MATCH($A177,Puntos_Jornada!$B$1:$M$1,0)),0)</f>
        <v>0</v>
      </c>
      <c r="E177" s="6">
        <f>IFERROR(INDEX(Puntos_Jornada!$B$2:$M$25,MATCH(Plantillas!E177,Puntos_Jornada!$A$2:$A$25,0),MATCH($A177,Puntos_Jornada!$B$1:$M$1,0)),0)</f>
        <v>0</v>
      </c>
      <c r="F177" s="6">
        <f>IFERROR(INDEX(Puntos_Jornada!$B$2:$M$25,MATCH(Plantillas!F177,Puntos_Jornada!$A$2:$A$25,0),MATCH($A177,Puntos_Jornada!$B$1:$M$1,0)),0)</f>
        <v>0</v>
      </c>
      <c r="G177" s="6">
        <f>IFERROR(INDEX(Puntos_Jornada!$B$2:$M$25,MATCH(Plantillas!G177,Puntos_Jornada!$A$2:$A$25,0),MATCH($A177,Puntos_Jornada!$B$1:$M$1,0)),0)</f>
        <v>0</v>
      </c>
      <c r="H177" s="6">
        <f>IFERROR(INDEX(Puntos_Jornada!$B$2:$M$25,MATCH(Plantillas!H177,Puntos_Jornada!$A$2:$A$25,0),MATCH($A177,Puntos_Jornada!$B$1:$M$1,0)),0)</f>
        <v>0</v>
      </c>
      <c r="I177" s="15">
        <f t="shared" si="2"/>
        <v>0</v>
      </c>
    </row>
    <row r="178" spans="1:9" x14ac:dyDescent="0.25">
      <c r="A178" s="6">
        <f>Plantillas!A178</f>
        <v>8</v>
      </c>
      <c r="B178" s="13" t="str">
        <f>Plantillas!B178</f>
        <v>Alumno 9</v>
      </c>
      <c r="C178" s="6">
        <f>IFERROR(INDEX(Puntos_Jornada!$B$2:$M$25,MATCH(Plantillas!C178,Puntos_Jornada!$A$2:$A$25,0),MATCH($A178,Puntos_Jornada!$B$1:$M$1,0)),0)</f>
        <v>0</v>
      </c>
      <c r="D178" s="6">
        <f>IFERROR(INDEX(Puntos_Jornada!$B$2:$M$25,MATCH(Plantillas!D178,Puntos_Jornada!$A$2:$A$25,0),MATCH($A178,Puntos_Jornada!$B$1:$M$1,0)),0)</f>
        <v>0</v>
      </c>
      <c r="E178" s="6">
        <f>IFERROR(INDEX(Puntos_Jornada!$B$2:$M$25,MATCH(Plantillas!E178,Puntos_Jornada!$A$2:$A$25,0),MATCH($A178,Puntos_Jornada!$B$1:$M$1,0)),0)</f>
        <v>0</v>
      </c>
      <c r="F178" s="6">
        <f>IFERROR(INDEX(Puntos_Jornada!$B$2:$M$25,MATCH(Plantillas!F178,Puntos_Jornada!$A$2:$A$25,0),MATCH($A178,Puntos_Jornada!$B$1:$M$1,0)),0)</f>
        <v>0</v>
      </c>
      <c r="G178" s="6">
        <f>IFERROR(INDEX(Puntos_Jornada!$B$2:$M$25,MATCH(Plantillas!G178,Puntos_Jornada!$A$2:$A$25,0),MATCH($A178,Puntos_Jornada!$B$1:$M$1,0)),0)</f>
        <v>0</v>
      </c>
      <c r="H178" s="6">
        <f>IFERROR(INDEX(Puntos_Jornada!$B$2:$M$25,MATCH(Plantillas!H178,Puntos_Jornada!$A$2:$A$25,0),MATCH($A178,Puntos_Jornada!$B$1:$M$1,0)),0)</f>
        <v>0</v>
      </c>
      <c r="I178" s="15">
        <f t="shared" si="2"/>
        <v>0</v>
      </c>
    </row>
    <row r="179" spans="1:9" x14ac:dyDescent="0.25">
      <c r="A179" s="6">
        <f>Plantillas!A179</f>
        <v>8</v>
      </c>
      <c r="B179" s="13" t="str">
        <f>Plantillas!B179</f>
        <v>Alumno 10</v>
      </c>
      <c r="C179" s="6">
        <f>IFERROR(INDEX(Puntos_Jornada!$B$2:$M$25,MATCH(Plantillas!C179,Puntos_Jornada!$A$2:$A$25,0),MATCH($A179,Puntos_Jornada!$B$1:$M$1,0)),0)</f>
        <v>0</v>
      </c>
      <c r="D179" s="6">
        <f>IFERROR(INDEX(Puntos_Jornada!$B$2:$M$25,MATCH(Plantillas!D179,Puntos_Jornada!$A$2:$A$25,0),MATCH($A179,Puntos_Jornada!$B$1:$M$1,0)),0)</f>
        <v>0</v>
      </c>
      <c r="E179" s="6">
        <f>IFERROR(INDEX(Puntos_Jornada!$B$2:$M$25,MATCH(Plantillas!E179,Puntos_Jornada!$A$2:$A$25,0),MATCH($A179,Puntos_Jornada!$B$1:$M$1,0)),0)</f>
        <v>0</v>
      </c>
      <c r="F179" s="6">
        <f>IFERROR(INDEX(Puntos_Jornada!$B$2:$M$25,MATCH(Plantillas!F179,Puntos_Jornada!$A$2:$A$25,0),MATCH($A179,Puntos_Jornada!$B$1:$M$1,0)),0)</f>
        <v>0</v>
      </c>
      <c r="G179" s="6">
        <f>IFERROR(INDEX(Puntos_Jornada!$B$2:$M$25,MATCH(Plantillas!G179,Puntos_Jornada!$A$2:$A$25,0),MATCH($A179,Puntos_Jornada!$B$1:$M$1,0)),0)</f>
        <v>0</v>
      </c>
      <c r="H179" s="6">
        <f>IFERROR(INDEX(Puntos_Jornada!$B$2:$M$25,MATCH(Plantillas!H179,Puntos_Jornada!$A$2:$A$25,0),MATCH($A179,Puntos_Jornada!$B$1:$M$1,0)),0)</f>
        <v>0</v>
      </c>
      <c r="I179" s="15">
        <f t="shared" si="2"/>
        <v>0</v>
      </c>
    </row>
    <row r="180" spans="1:9" x14ac:dyDescent="0.25">
      <c r="A180" s="6">
        <f>Plantillas!A180</f>
        <v>8</v>
      </c>
      <c r="B180" s="13" t="str">
        <f>Plantillas!B180</f>
        <v>Alumno 11</v>
      </c>
      <c r="C180" s="6">
        <f>IFERROR(INDEX(Puntos_Jornada!$B$2:$M$25,MATCH(Plantillas!C180,Puntos_Jornada!$A$2:$A$25,0),MATCH($A180,Puntos_Jornada!$B$1:$M$1,0)),0)</f>
        <v>0</v>
      </c>
      <c r="D180" s="6">
        <f>IFERROR(INDEX(Puntos_Jornada!$B$2:$M$25,MATCH(Plantillas!D180,Puntos_Jornada!$A$2:$A$25,0),MATCH($A180,Puntos_Jornada!$B$1:$M$1,0)),0)</f>
        <v>0</v>
      </c>
      <c r="E180" s="6">
        <f>IFERROR(INDEX(Puntos_Jornada!$B$2:$M$25,MATCH(Plantillas!E180,Puntos_Jornada!$A$2:$A$25,0),MATCH($A180,Puntos_Jornada!$B$1:$M$1,0)),0)</f>
        <v>0</v>
      </c>
      <c r="F180" s="6">
        <f>IFERROR(INDEX(Puntos_Jornada!$B$2:$M$25,MATCH(Plantillas!F180,Puntos_Jornada!$A$2:$A$25,0),MATCH($A180,Puntos_Jornada!$B$1:$M$1,0)),0)</f>
        <v>0</v>
      </c>
      <c r="G180" s="6">
        <f>IFERROR(INDEX(Puntos_Jornada!$B$2:$M$25,MATCH(Plantillas!G180,Puntos_Jornada!$A$2:$A$25,0),MATCH($A180,Puntos_Jornada!$B$1:$M$1,0)),0)</f>
        <v>0</v>
      </c>
      <c r="H180" s="6">
        <f>IFERROR(INDEX(Puntos_Jornada!$B$2:$M$25,MATCH(Plantillas!H180,Puntos_Jornada!$A$2:$A$25,0),MATCH($A180,Puntos_Jornada!$B$1:$M$1,0)),0)</f>
        <v>0</v>
      </c>
      <c r="I180" s="15">
        <f t="shared" si="2"/>
        <v>0</v>
      </c>
    </row>
    <row r="181" spans="1:9" x14ac:dyDescent="0.25">
      <c r="A181" s="6">
        <f>Plantillas!A181</f>
        <v>8</v>
      </c>
      <c r="B181" s="13" t="str">
        <f>Plantillas!B181</f>
        <v>Alumno 12</v>
      </c>
      <c r="C181" s="6">
        <f>IFERROR(INDEX(Puntos_Jornada!$B$2:$M$25,MATCH(Plantillas!C181,Puntos_Jornada!$A$2:$A$25,0),MATCH($A181,Puntos_Jornada!$B$1:$M$1,0)),0)</f>
        <v>0</v>
      </c>
      <c r="D181" s="6">
        <f>IFERROR(INDEX(Puntos_Jornada!$B$2:$M$25,MATCH(Plantillas!D181,Puntos_Jornada!$A$2:$A$25,0),MATCH($A181,Puntos_Jornada!$B$1:$M$1,0)),0)</f>
        <v>0</v>
      </c>
      <c r="E181" s="6">
        <f>IFERROR(INDEX(Puntos_Jornada!$B$2:$M$25,MATCH(Plantillas!E181,Puntos_Jornada!$A$2:$A$25,0),MATCH($A181,Puntos_Jornada!$B$1:$M$1,0)),0)</f>
        <v>0</v>
      </c>
      <c r="F181" s="6">
        <f>IFERROR(INDEX(Puntos_Jornada!$B$2:$M$25,MATCH(Plantillas!F181,Puntos_Jornada!$A$2:$A$25,0),MATCH($A181,Puntos_Jornada!$B$1:$M$1,0)),0)</f>
        <v>0</v>
      </c>
      <c r="G181" s="6">
        <f>IFERROR(INDEX(Puntos_Jornada!$B$2:$M$25,MATCH(Plantillas!G181,Puntos_Jornada!$A$2:$A$25,0),MATCH($A181,Puntos_Jornada!$B$1:$M$1,0)),0)</f>
        <v>0</v>
      </c>
      <c r="H181" s="6">
        <f>IFERROR(INDEX(Puntos_Jornada!$B$2:$M$25,MATCH(Plantillas!H181,Puntos_Jornada!$A$2:$A$25,0),MATCH($A181,Puntos_Jornada!$B$1:$M$1,0)),0)</f>
        <v>0</v>
      </c>
      <c r="I181" s="15">
        <f t="shared" si="2"/>
        <v>0</v>
      </c>
    </row>
    <row r="182" spans="1:9" x14ac:dyDescent="0.25">
      <c r="A182" s="6">
        <f>Plantillas!A182</f>
        <v>8</v>
      </c>
      <c r="B182" s="13" t="str">
        <f>Plantillas!B182</f>
        <v>Alumno 13</v>
      </c>
      <c r="C182" s="6">
        <f>IFERROR(INDEX(Puntos_Jornada!$B$2:$M$25,MATCH(Plantillas!C182,Puntos_Jornada!$A$2:$A$25,0),MATCH($A182,Puntos_Jornada!$B$1:$M$1,0)),0)</f>
        <v>0</v>
      </c>
      <c r="D182" s="6">
        <f>IFERROR(INDEX(Puntos_Jornada!$B$2:$M$25,MATCH(Plantillas!D182,Puntos_Jornada!$A$2:$A$25,0),MATCH($A182,Puntos_Jornada!$B$1:$M$1,0)),0)</f>
        <v>0</v>
      </c>
      <c r="E182" s="6">
        <f>IFERROR(INDEX(Puntos_Jornada!$B$2:$M$25,MATCH(Plantillas!E182,Puntos_Jornada!$A$2:$A$25,0),MATCH($A182,Puntos_Jornada!$B$1:$M$1,0)),0)</f>
        <v>0</v>
      </c>
      <c r="F182" s="6">
        <f>IFERROR(INDEX(Puntos_Jornada!$B$2:$M$25,MATCH(Plantillas!F182,Puntos_Jornada!$A$2:$A$25,0),MATCH($A182,Puntos_Jornada!$B$1:$M$1,0)),0)</f>
        <v>0</v>
      </c>
      <c r="G182" s="6">
        <f>IFERROR(INDEX(Puntos_Jornada!$B$2:$M$25,MATCH(Plantillas!G182,Puntos_Jornada!$A$2:$A$25,0),MATCH($A182,Puntos_Jornada!$B$1:$M$1,0)),0)</f>
        <v>0</v>
      </c>
      <c r="H182" s="6">
        <f>IFERROR(INDEX(Puntos_Jornada!$B$2:$M$25,MATCH(Plantillas!H182,Puntos_Jornada!$A$2:$A$25,0),MATCH($A182,Puntos_Jornada!$B$1:$M$1,0)),0)</f>
        <v>0</v>
      </c>
      <c r="I182" s="15">
        <f t="shared" si="2"/>
        <v>0</v>
      </c>
    </row>
    <row r="183" spans="1:9" x14ac:dyDescent="0.25">
      <c r="A183" s="6">
        <f>Plantillas!A183</f>
        <v>8</v>
      </c>
      <c r="B183" s="13" t="str">
        <f>Plantillas!B183</f>
        <v>Alumno 14</v>
      </c>
      <c r="C183" s="6">
        <f>IFERROR(INDEX(Puntos_Jornada!$B$2:$M$25,MATCH(Plantillas!C183,Puntos_Jornada!$A$2:$A$25,0),MATCH($A183,Puntos_Jornada!$B$1:$M$1,0)),0)</f>
        <v>0</v>
      </c>
      <c r="D183" s="6">
        <f>IFERROR(INDEX(Puntos_Jornada!$B$2:$M$25,MATCH(Plantillas!D183,Puntos_Jornada!$A$2:$A$25,0),MATCH($A183,Puntos_Jornada!$B$1:$M$1,0)),0)</f>
        <v>0</v>
      </c>
      <c r="E183" s="6">
        <f>IFERROR(INDEX(Puntos_Jornada!$B$2:$M$25,MATCH(Plantillas!E183,Puntos_Jornada!$A$2:$A$25,0),MATCH($A183,Puntos_Jornada!$B$1:$M$1,0)),0)</f>
        <v>0</v>
      </c>
      <c r="F183" s="6">
        <f>IFERROR(INDEX(Puntos_Jornada!$B$2:$M$25,MATCH(Plantillas!F183,Puntos_Jornada!$A$2:$A$25,0),MATCH($A183,Puntos_Jornada!$B$1:$M$1,0)),0)</f>
        <v>0</v>
      </c>
      <c r="G183" s="6">
        <f>IFERROR(INDEX(Puntos_Jornada!$B$2:$M$25,MATCH(Plantillas!G183,Puntos_Jornada!$A$2:$A$25,0),MATCH($A183,Puntos_Jornada!$B$1:$M$1,0)),0)</f>
        <v>0</v>
      </c>
      <c r="H183" s="6">
        <f>IFERROR(INDEX(Puntos_Jornada!$B$2:$M$25,MATCH(Plantillas!H183,Puntos_Jornada!$A$2:$A$25,0),MATCH($A183,Puntos_Jornada!$B$1:$M$1,0)),0)</f>
        <v>0</v>
      </c>
      <c r="I183" s="15">
        <f t="shared" si="2"/>
        <v>0</v>
      </c>
    </row>
    <row r="184" spans="1:9" x14ac:dyDescent="0.25">
      <c r="A184" s="6">
        <f>Plantillas!A184</f>
        <v>8</v>
      </c>
      <c r="B184" s="13" t="str">
        <f>Plantillas!B184</f>
        <v>Alumno 15</v>
      </c>
      <c r="C184" s="6">
        <f>IFERROR(INDEX(Puntos_Jornada!$B$2:$M$25,MATCH(Plantillas!C184,Puntos_Jornada!$A$2:$A$25,0),MATCH($A184,Puntos_Jornada!$B$1:$M$1,0)),0)</f>
        <v>0</v>
      </c>
      <c r="D184" s="6">
        <f>IFERROR(INDEX(Puntos_Jornada!$B$2:$M$25,MATCH(Plantillas!D184,Puntos_Jornada!$A$2:$A$25,0),MATCH($A184,Puntos_Jornada!$B$1:$M$1,0)),0)</f>
        <v>0</v>
      </c>
      <c r="E184" s="6">
        <f>IFERROR(INDEX(Puntos_Jornada!$B$2:$M$25,MATCH(Plantillas!E184,Puntos_Jornada!$A$2:$A$25,0),MATCH($A184,Puntos_Jornada!$B$1:$M$1,0)),0)</f>
        <v>0</v>
      </c>
      <c r="F184" s="6">
        <f>IFERROR(INDEX(Puntos_Jornada!$B$2:$M$25,MATCH(Plantillas!F184,Puntos_Jornada!$A$2:$A$25,0),MATCH($A184,Puntos_Jornada!$B$1:$M$1,0)),0)</f>
        <v>0</v>
      </c>
      <c r="G184" s="6">
        <f>IFERROR(INDEX(Puntos_Jornada!$B$2:$M$25,MATCH(Plantillas!G184,Puntos_Jornada!$A$2:$A$25,0),MATCH($A184,Puntos_Jornada!$B$1:$M$1,0)),0)</f>
        <v>0</v>
      </c>
      <c r="H184" s="6">
        <f>IFERROR(INDEX(Puntos_Jornada!$B$2:$M$25,MATCH(Plantillas!H184,Puntos_Jornada!$A$2:$A$25,0),MATCH($A184,Puntos_Jornada!$B$1:$M$1,0)),0)</f>
        <v>0</v>
      </c>
      <c r="I184" s="15">
        <f t="shared" si="2"/>
        <v>0</v>
      </c>
    </row>
    <row r="185" spans="1:9" x14ac:dyDescent="0.25">
      <c r="A185" s="6">
        <f>Plantillas!A185</f>
        <v>8</v>
      </c>
      <c r="B185" s="13" t="str">
        <f>Plantillas!B185</f>
        <v>Alumno 16</v>
      </c>
      <c r="C185" s="6">
        <f>IFERROR(INDEX(Puntos_Jornada!$B$2:$M$25,MATCH(Plantillas!C185,Puntos_Jornada!$A$2:$A$25,0),MATCH($A185,Puntos_Jornada!$B$1:$M$1,0)),0)</f>
        <v>0</v>
      </c>
      <c r="D185" s="6">
        <f>IFERROR(INDEX(Puntos_Jornada!$B$2:$M$25,MATCH(Plantillas!D185,Puntos_Jornada!$A$2:$A$25,0),MATCH($A185,Puntos_Jornada!$B$1:$M$1,0)),0)</f>
        <v>0</v>
      </c>
      <c r="E185" s="6">
        <f>IFERROR(INDEX(Puntos_Jornada!$B$2:$M$25,MATCH(Plantillas!E185,Puntos_Jornada!$A$2:$A$25,0),MATCH($A185,Puntos_Jornada!$B$1:$M$1,0)),0)</f>
        <v>0</v>
      </c>
      <c r="F185" s="6">
        <f>IFERROR(INDEX(Puntos_Jornada!$B$2:$M$25,MATCH(Plantillas!F185,Puntos_Jornada!$A$2:$A$25,0),MATCH($A185,Puntos_Jornada!$B$1:$M$1,0)),0)</f>
        <v>0</v>
      </c>
      <c r="G185" s="6">
        <f>IFERROR(INDEX(Puntos_Jornada!$B$2:$M$25,MATCH(Plantillas!G185,Puntos_Jornada!$A$2:$A$25,0),MATCH($A185,Puntos_Jornada!$B$1:$M$1,0)),0)</f>
        <v>0</v>
      </c>
      <c r="H185" s="6">
        <f>IFERROR(INDEX(Puntos_Jornada!$B$2:$M$25,MATCH(Plantillas!H185,Puntos_Jornada!$A$2:$A$25,0),MATCH($A185,Puntos_Jornada!$B$1:$M$1,0)),0)</f>
        <v>0</v>
      </c>
      <c r="I185" s="15">
        <f t="shared" si="2"/>
        <v>0</v>
      </c>
    </row>
    <row r="186" spans="1:9" x14ac:dyDescent="0.25">
      <c r="A186" s="6">
        <f>Plantillas!A186</f>
        <v>8</v>
      </c>
      <c r="B186" s="13" t="str">
        <f>Plantillas!B186</f>
        <v>Alumno 17</v>
      </c>
      <c r="C186" s="6">
        <f>IFERROR(INDEX(Puntos_Jornada!$B$2:$M$25,MATCH(Plantillas!C186,Puntos_Jornada!$A$2:$A$25,0),MATCH($A186,Puntos_Jornada!$B$1:$M$1,0)),0)</f>
        <v>0</v>
      </c>
      <c r="D186" s="6">
        <f>IFERROR(INDEX(Puntos_Jornada!$B$2:$M$25,MATCH(Plantillas!D186,Puntos_Jornada!$A$2:$A$25,0),MATCH($A186,Puntos_Jornada!$B$1:$M$1,0)),0)</f>
        <v>0</v>
      </c>
      <c r="E186" s="6">
        <f>IFERROR(INDEX(Puntos_Jornada!$B$2:$M$25,MATCH(Plantillas!E186,Puntos_Jornada!$A$2:$A$25,0),MATCH($A186,Puntos_Jornada!$B$1:$M$1,0)),0)</f>
        <v>0</v>
      </c>
      <c r="F186" s="6">
        <f>IFERROR(INDEX(Puntos_Jornada!$B$2:$M$25,MATCH(Plantillas!F186,Puntos_Jornada!$A$2:$A$25,0),MATCH($A186,Puntos_Jornada!$B$1:$M$1,0)),0)</f>
        <v>0</v>
      </c>
      <c r="G186" s="6">
        <f>IFERROR(INDEX(Puntos_Jornada!$B$2:$M$25,MATCH(Plantillas!G186,Puntos_Jornada!$A$2:$A$25,0),MATCH($A186,Puntos_Jornada!$B$1:$M$1,0)),0)</f>
        <v>0</v>
      </c>
      <c r="H186" s="6">
        <f>IFERROR(INDEX(Puntos_Jornada!$B$2:$M$25,MATCH(Plantillas!H186,Puntos_Jornada!$A$2:$A$25,0),MATCH($A186,Puntos_Jornada!$B$1:$M$1,0)),0)</f>
        <v>0</v>
      </c>
      <c r="I186" s="15">
        <f t="shared" si="2"/>
        <v>0</v>
      </c>
    </row>
    <row r="187" spans="1:9" x14ac:dyDescent="0.25">
      <c r="A187" s="6">
        <f>Plantillas!A187</f>
        <v>8</v>
      </c>
      <c r="B187" s="13" t="str">
        <f>Plantillas!B187</f>
        <v>Alumno 18</v>
      </c>
      <c r="C187" s="6">
        <f>IFERROR(INDEX(Puntos_Jornada!$B$2:$M$25,MATCH(Plantillas!C187,Puntos_Jornada!$A$2:$A$25,0),MATCH($A187,Puntos_Jornada!$B$1:$M$1,0)),0)</f>
        <v>0</v>
      </c>
      <c r="D187" s="6">
        <f>IFERROR(INDEX(Puntos_Jornada!$B$2:$M$25,MATCH(Plantillas!D187,Puntos_Jornada!$A$2:$A$25,0),MATCH($A187,Puntos_Jornada!$B$1:$M$1,0)),0)</f>
        <v>0</v>
      </c>
      <c r="E187" s="6">
        <f>IFERROR(INDEX(Puntos_Jornada!$B$2:$M$25,MATCH(Plantillas!E187,Puntos_Jornada!$A$2:$A$25,0),MATCH($A187,Puntos_Jornada!$B$1:$M$1,0)),0)</f>
        <v>0</v>
      </c>
      <c r="F187" s="6">
        <f>IFERROR(INDEX(Puntos_Jornada!$B$2:$M$25,MATCH(Plantillas!F187,Puntos_Jornada!$A$2:$A$25,0),MATCH($A187,Puntos_Jornada!$B$1:$M$1,0)),0)</f>
        <v>0</v>
      </c>
      <c r="G187" s="6">
        <f>IFERROR(INDEX(Puntos_Jornada!$B$2:$M$25,MATCH(Plantillas!G187,Puntos_Jornada!$A$2:$A$25,0),MATCH($A187,Puntos_Jornada!$B$1:$M$1,0)),0)</f>
        <v>0</v>
      </c>
      <c r="H187" s="6">
        <f>IFERROR(INDEX(Puntos_Jornada!$B$2:$M$25,MATCH(Plantillas!H187,Puntos_Jornada!$A$2:$A$25,0),MATCH($A187,Puntos_Jornada!$B$1:$M$1,0)),0)</f>
        <v>0</v>
      </c>
      <c r="I187" s="15">
        <f t="shared" si="2"/>
        <v>0</v>
      </c>
    </row>
    <row r="188" spans="1:9" x14ac:dyDescent="0.25">
      <c r="A188" s="6">
        <f>Plantillas!A188</f>
        <v>8</v>
      </c>
      <c r="B188" s="13" t="str">
        <f>Plantillas!B188</f>
        <v>Alumno 19</v>
      </c>
      <c r="C188" s="6">
        <f>IFERROR(INDEX(Puntos_Jornada!$B$2:$M$25,MATCH(Plantillas!C188,Puntos_Jornada!$A$2:$A$25,0),MATCH($A188,Puntos_Jornada!$B$1:$M$1,0)),0)</f>
        <v>0</v>
      </c>
      <c r="D188" s="6">
        <f>IFERROR(INDEX(Puntos_Jornada!$B$2:$M$25,MATCH(Plantillas!D188,Puntos_Jornada!$A$2:$A$25,0),MATCH($A188,Puntos_Jornada!$B$1:$M$1,0)),0)</f>
        <v>0</v>
      </c>
      <c r="E188" s="6">
        <f>IFERROR(INDEX(Puntos_Jornada!$B$2:$M$25,MATCH(Plantillas!E188,Puntos_Jornada!$A$2:$A$25,0),MATCH($A188,Puntos_Jornada!$B$1:$M$1,0)),0)</f>
        <v>0</v>
      </c>
      <c r="F188" s="6">
        <f>IFERROR(INDEX(Puntos_Jornada!$B$2:$M$25,MATCH(Plantillas!F188,Puntos_Jornada!$A$2:$A$25,0),MATCH($A188,Puntos_Jornada!$B$1:$M$1,0)),0)</f>
        <v>0</v>
      </c>
      <c r="G188" s="6">
        <f>IFERROR(INDEX(Puntos_Jornada!$B$2:$M$25,MATCH(Plantillas!G188,Puntos_Jornada!$A$2:$A$25,0),MATCH($A188,Puntos_Jornada!$B$1:$M$1,0)),0)</f>
        <v>0</v>
      </c>
      <c r="H188" s="6">
        <f>IFERROR(INDEX(Puntos_Jornada!$B$2:$M$25,MATCH(Plantillas!H188,Puntos_Jornada!$A$2:$A$25,0),MATCH($A188,Puntos_Jornada!$B$1:$M$1,0)),0)</f>
        <v>0</v>
      </c>
      <c r="I188" s="15">
        <f t="shared" si="2"/>
        <v>0</v>
      </c>
    </row>
    <row r="189" spans="1:9" x14ac:dyDescent="0.25">
      <c r="A189" s="6">
        <f>Plantillas!A189</f>
        <v>8</v>
      </c>
      <c r="B189" s="13" t="str">
        <f>Plantillas!B189</f>
        <v>Alumno 20</v>
      </c>
      <c r="C189" s="6">
        <f>IFERROR(INDEX(Puntos_Jornada!$B$2:$M$25,MATCH(Plantillas!C189,Puntos_Jornada!$A$2:$A$25,0),MATCH($A189,Puntos_Jornada!$B$1:$M$1,0)),0)</f>
        <v>0</v>
      </c>
      <c r="D189" s="6">
        <f>IFERROR(INDEX(Puntos_Jornada!$B$2:$M$25,MATCH(Plantillas!D189,Puntos_Jornada!$A$2:$A$25,0),MATCH($A189,Puntos_Jornada!$B$1:$M$1,0)),0)</f>
        <v>0</v>
      </c>
      <c r="E189" s="6">
        <f>IFERROR(INDEX(Puntos_Jornada!$B$2:$M$25,MATCH(Plantillas!E189,Puntos_Jornada!$A$2:$A$25,0),MATCH($A189,Puntos_Jornada!$B$1:$M$1,0)),0)</f>
        <v>0</v>
      </c>
      <c r="F189" s="6">
        <f>IFERROR(INDEX(Puntos_Jornada!$B$2:$M$25,MATCH(Plantillas!F189,Puntos_Jornada!$A$2:$A$25,0),MATCH($A189,Puntos_Jornada!$B$1:$M$1,0)),0)</f>
        <v>0</v>
      </c>
      <c r="G189" s="6">
        <f>IFERROR(INDEX(Puntos_Jornada!$B$2:$M$25,MATCH(Plantillas!G189,Puntos_Jornada!$A$2:$A$25,0),MATCH($A189,Puntos_Jornada!$B$1:$M$1,0)),0)</f>
        <v>0</v>
      </c>
      <c r="H189" s="6">
        <f>IFERROR(INDEX(Puntos_Jornada!$B$2:$M$25,MATCH(Plantillas!H189,Puntos_Jornada!$A$2:$A$25,0),MATCH($A189,Puntos_Jornada!$B$1:$M$1,0)),0)</f>
        <v>0</v>
      </c>
      <c r="I189" s="15">
        <f t="shared" si="2"/>
        <v>0</v>
      </c>
    </row>
    <row r="190" spans="1:9" x14ac:dyDescent="0.25">
      <c r="A190" s="6">
        <f>Plantillas!A190</f>
        <v>8</v>
      </c>
      <c r="B190" s="13" t="str">
        <f>Plantillas!B190</f>
        <v>Alumno 21</v>
      </c>
      <c r="C190" s="6">
        <f>IFERROR(INDEX(Puntos_Jornada!$B$2:$M$25,MATCH(Plantillas!C190,Puntos_Jornada!$A$2:$A$25,0),MATCH($A190,Puntos_Jornada!$B$1:$M$1,0)),0)</f>
        <v>0</v>
      </c>
      <c r="D190" s="6">
        <f>IFERROR(INDEX(Puntos_Jornada!$B$2:$M$25,MATCH(Plantillas!D190,Puntos_Jornada!$A$2:$A$25,0),MATCH($A190,Puntos_Jornada!$B$1:$M$1,0)),0)</f>
        <v>0</v>
      </c>
      <c r="E190" s="6">
        <f>IFERROR(INDEX(Puntos_Jornada!$B$2:$M$25,MATCH(Plantillas!E190,Puntos_Jornada!$A$2:$A$25,0),MATCH($A190,Puntos_Jornada!$B$1:$M$1,0)),0)</f>
        <v>0</v>
      </c>
      <c r="F190" s="6">
        <f>IFERROR(INDEX(Puntos_Jornada!$B$2:$M$25,MATCH(Plantillas!F190,Puntos_Jornada!$A$2:$A$25,0),MATCH($A190,Puntos_Jornada!$B$1:$M$1,0)),0)</f>
        <v>0</v>
      </c>
      <c r="G190" s="6">
        <f>IFERROR(INDEX(Puntos_Jornada!$B$2:$M$25,MATCH(Plantillas!G190,Puntos_Jornada!$A$2:$A$25,0),MATCH($A190,Puntos_Jornada!$B$1:$M$1,0)),0)</f>
        <v>0</v>
      </c>
      <c r="H190" s="6">
        <f>IFERROR(INDEX(Puntos_Jornada!$B$2:$M$25,MATCH(Plantillas!H190,Puntos_Jornada!$A$2:$A$25,0),MATCH($A190,Puntos_Jornada!$B$1:$M$1,0)),0)</f>
        <v>0</v>
      </c>
      <c r="I190" s="15">
        <f t="shared" si="2"/>
        <v>0</v>
      </c>
    </row>
    <row r="191" spans="1:9" x14ac:dyDescent="0.25">
      <c r="A191" s="6">
        <f>Plantillas!A191</f>
        <v>8</v>
      </c>
      <c r="B191" s="13" t="str">
        <f>Plantillas!B191</f>
        <v>Alumno 22</v>
      </c>
      <c r="C191" s="6">
        <f>IFERROR(INDEX(Puntos_Jornada!$B$2:$M$25,MATCH(Plantillas!C191,Puntos_Jornada!$A$2:$A$25,0),MATCH($A191,Puntos_Jornada!$B$1:$M$1,0)),0)</f>
        <v>0</v>
      </c>
      <c r="D191" s="6">
        <f>IFERROR(INDEX(Puntos_Jornada!$B$2:$M$25,MATCH(Plantillas!D191,Puntos_Jornada!$A$2:$A$25,0),MATCH($A191,Puntos_Jornada!$B$1:$M$1,0)),0)</f>
        <v>0</v>
      </c>
      <c r="E191" s="6">
        <f>IFERROR(INDEX(Puntos_Jornada!$B$2:$M$25,MATCH(Plantillas!E191,Puntos_Jornada!$A$2:$A$25,0),MATCH($A191,Puntos_Jornada!$B$1:$M$1,0)),0)</f>
        <v>0</v>
      </c>
      <c r="F191" s="6">
        <f>IFERROR(INDEX(Puntos_Jornada!$B$2:$M$25,MATCH(Plantillas!F191,Puntos_Jornada!$A$2:$A$25,0),MATCH($A191,Puntos_Jornada!$B$1:$M$1,0)),0)</f>
        <v>0</v>
      </c>
      <c r="G191" s="6">
        <f>IFERROR(INDEX(Puntos_Jornada!$B$2:$M$25,MATCH(Plantillas!G191,Puntos_Jornada!$A$2:$A$25,0),MATCH($A191,Puntos_Jornada!$B$1:$M$1,0)),0)</f>
        <v>0</v>
      </c>
      <c r="H191" s="6">
        <f>IFERROR(INDEX(Puntos_Jornada!$B$2:$M$25,MATCH(Plantillas!H191,Puntos_Jornada!$A$2:$A$25,0),MATCH($A191,Puntos_Jornada!$B$1:$M$1,0)),0)</f>
        <v>0</v>
      </c>
      <c r="I191" s="15">
        <f t="shared" si="2"/>
        <v>0</v>
      </c>
    </row>
    <row r="192" spans="1:9" x14ac:dyDescent="0.25">
      <c r="A192" s="6">
        <f>Plantillas!A192</f>
        <v>8</v>
      </c>
      <c r="B192" s="13" t="str">
        <f>Plantillas!B192</f>
        <v>Alumno 23</v>
      </c>
      <c r="C192" s="6">
        <f>IFERROR(INDEX(Puntos_Jornada!$B$2:$M$25,MATCH(Plantillas!C192,Puntos_Jornada!$A$2:$A$25,0),MATCH($A192,Puntos_Jornada!$B$1:$M$1,0)),0)</f>
        <v>0</v>
      </c>
      <c r="D192" s="6">
        <f>IFERROR(INDEX(Puntos_Jornada!$B$2:$M$25,MATCH(Plantillas!D192,Puntos_Jornada!$A$2:$A$25,0),MATCH($A192,Puntos_Jornada!$B$1:$M$1,0)),0)</f>
        <v>0</v>
      </c>
      <c r="E192" s="6">
        <f>IFERROR(INDEX(Puntos_Jornada!$B$2:$M$25,MATCH(Plantillas!E192,Puntos_Jornada!$A$2:$A$25,0),MATCH($A192,Puntos_Jornada!$B$1:$M$1,0)),0)</f>
        <v>0</v>
      </c>
      <c r="F192" s="6">
        <f>IFERROR(INDEX(Puntos_Jornada!$B$2:$M$25,MATCH(Plantillas!F192,Puntos_Jornada!$A$2:$A$25,0),MATCH($A192,Puntos_Jornada!$B$1:$M$1,0)),0)</f>
        <v>0</v>
      </c>
      <c r="G192" s="6">
        <f>IFERROR(INDEX(Puntos_Jornada!$B$2:$M$25,MATCH(Plantillas!G192,Puntos_Jornada!$A$2:$A$25,0),MATCH($A192,Puntos_Jornada!$B$1:$M$1,0)),0)</f>
        <v>0</v>
      </c>
      <c r="H192" s="6">
        <f>IFERROR(INDEX(Puntos_Jornada!$B$2:$M$25,MATCH(Plantillas!H192,Puntos_Jornada!$A$2:$A$25,0),MATCH($A192,Puntos_Jornada!$B$1:$M$1,0)),0)</f>
        <v>0</v>
      </c>
      <c r="I192" s="15">
        <f t="shared" si="2"/>
        <v>0</v>
      </c>
    </row>
    <row r="193" spans="1:9" x14ac:dyDescent="0.25">
      <c r="A193" s="6">
        <f>Plantillas!A193</f>
        <v>8</v>
      </c>
      <c r="B193" s="13" t="str">
        <f>Plantillas!B193</f>
        <v>Alumno 24</v>
      </c>
      <c r="C193" s="6">
        <f>IFERROR(INDEX(Puntos_Jornada!$B$2:$M$25,MATCH(Plantillas!C193,Puntos_Jornada!$A$2:$A$25,0),MATCH($A193,Puntos_Jornada!$B$1:$M$1,0)),0)</f>
        <v>0</v>
      </c>
      <c r="D193" s="6">
        <f>IFERROR(INDEX(Puntos_Jornada!$B$2:$M$25,MATCH(Plantillas!D193,Puntos_Jornada!$A$2:$A$25,0),MATCH($A193,Puntos_Jornada!$B$1:$M$1,0)),0)</f>
        <v>0</v>
      </c>
      <c r="E193" s="6">
        <f>IFERROR(INDEX(Puntos_Jornada!$B$2:$M$25,MATCH(Plantillas!E193,Puntos_Jornada!$A$2:$A$25,0),MATCH($A193,Puntos_Jornada!$B$1:$M$1,0)),0)</f>
        <v>0</v>
      </c>
      <c r="F193" s="6">
        <f>IFERROR(INDEX(Puntos_Jornada!$B$2:$M$25,MATCH(Plantillas!F193,Puntos_Jornada!$A$2:$A$25,0),MATCH($A193,Puntos_Jornada!$B$1:$M$1,0)),0)</f>
        <v>0</v>
      </c>
      <c r="G193" s="6">
        <f>IFERROR(INDEX(Puntos_Jornada!$B$2:$M$25,MATCH(Plantillas!G193,Puntos_Jornada!$A$2:$A$25,0),MATCH($A193,Puntos_Jornada!$B$1:$M$1,0)),0)</f>
        <v>0</v>
      </c>
      <c r="H193" s="6">
        <f>IFERROR(INDEX(Puntos_Jornada!$B$2:$M$25,MATCH(Plantillas!H193,Puntos_Jornada!$A$2:$A$25,0),MATCH($A193,Puntos_Jornada!$B$1:$M$1,0)),0)</f>
        <v>0</v>
      </c>
      <c r="I193" s="15">
        <f t="shared" si="2"/>
        <v>0</v>
      </c>
    </row>
    <row r="194" spans="1:9" x14ac:dyDescent="0.25">
      <c r="A194" s="6">
        <f>Plantillas!A194</f>
        <v>9</v>
      </c>
      <c r="B194" s="13" t="str">
        <f>Plantillas!B194</f>
        <v>Alumno 1</v>
      </c>
      <c r="C194" s="6">
        <f>IFERROR(INDEX(Puntos_Jornada!$B$2:$M$25,MATCH(Plantillas!C194,Puntos_Jornada!$A$2:$A$25,0),MATCH($A194,Puntos_Jornada!$B$1:$M$1,0)),0)</f>
        <v>0</v>
      </c>
      <c r="D194" s="6">
        <f>IFERROR(INDEX(Puntos_Jornada!$B$2:$M$25,MATCH(Plantillas!D194,Puntos_Jornada!$A$2:$A$25,0),MATCH($A194,Puntos_Jornada!$B$1:$M$1,0)),0)</f>
        <v>0</v>
      </c>
      <c r="E194" s="6">
        <f>IFERROR(INDEX(Puntos_Jornada!$B$2:$M$25,MATCH(Plantillas!E194,Puntos_Jornada!$A$2:$A$25,0),MATCH($A194,Puntos_Jornada!$B$1:$M$1,0)),0)</f>
        <v>0</v>
      </c>
      <c r="F194" s="6">
        <f>IFERROR(INDEX(Puntos_Jornada!$B$2:$M$25,MATCH(Plantillas!F194,Puntos_Jornada!$A$2:$A$25,0),MATCH($A194,Puntos_Jornada!$B$1:$M$1,0)),0)</f>
        <v>0</v>
      </c>
      <c r="G194" s="6">
        <f>IFERROR(INDEX(Puntos_Jornada!$B$2:$M$25,MATCH(Plantillas!G194,Puntos_Jornada!$A$2:$A$25,0),MATCH($A194,Puntos_Jornada!$B$1:$M$1,0)),0)</f>
        <v>0</v>
      </c>
      <c r="H194" s="6">
        <f>IFERROR(INDEX(Puntos_Jornada!$B$2:$M$25,MATCH(Plantillas!H194,Puntos_Jornada!$A$2:$A$25,0),MATCH($A194,Puntos_Jornada!$B$1:$M$1,0)),0)</f>
        <v>0</v>
      </c>
      <c r="I194" s="15">
        <f t="shared" ref="I194:I257" si="3">SUM(C194:G194)+H194</f>
        <v>0</v>
      </c>
    </row>
    <row r="195" spans="1:9" x14ac:dyDescent="0.25">
      <c r="A195" s="6">
        <f>Plantillas!A195</f>
        <v>9</v>
      </c>
      <c r="B195" s="13" t="str">
        <f>Plantillas!B195</f>
        <v>Alumno 2</v>
      </c>
      <c r="C195" s="6">
        <f>IFERROR(INDEX(Puntos_Jornada!$B$2:$M$25,MATCH(Plantillas!C195,Puntos_Jornada!$A$2:$A$25,0),MATCH($A195,Puntos_Jornada!$B$1:$M$1,0)),0)</f>
        <v>0</v>
      </c>
      <c r="D195" s="6">
        <f>IFERROR(INDEX(Puntos_Jornada!$B$2:$M$25,MATCH(Plantillas!D195,Puntos_Jornada!$A$2:$A$25,0),MATCH($A195,Puntos_Jornada!$B$1:$M$1,0)),0)</f>
        <v>0</v>
      </c>
      <c r="E195" s="6">
        <f>IFERROR(INDEX(Puntos_Jornada!$B$2:$M$25,MATCH(Plantillas!E195,Puntos_Jornada!$A$2:$A$25,0),MATCH($A195,Puntos_Jornada!$B$1:$M$1,0)),0)</f>
        <v>0</v>
      </c>
      <c r="F195" s="6">
        <f>IFERROR(INDEX(Puntos_Jornada!$B$2:$M$25,MATCH(Plantillas!F195,Puntos_Jornada!$A$2:$A$25,0),MATCH($A195,Puntos_Jornada!$B$1:$M$1,0)),0)</f>
        <v>0</v>
      </c>
      <c r="G195" s="6">
        <f>IFERROR(INDEX(Puntos_Jornada!$B$2:$M$25,MATCH(Plantillas!G195,Puntos_Jornada!$A$2:$A$25,0),MATCH($A195,Puntos_Jornada!$B$1:$M$1,0)),0)</f>
        <v>0</v>
      </c>
      <c r="H195" s="6">
        <f>IFERROR(INDEX(Puntos_Jornada!$B$2:$M$25,MATCH(Plantillas!H195,Puntos_Jornada!$A$2:$A$25,0),MATCH($A195,Puntos_Jornada!$B$1:$M$1,0)),0)</f>
        <v>0</v>
      </c>
      <c r="I195" s="15">
        <f t="shared" si="3"/>
        <v>0</v>
      </c>
    </row>
    <row r="196" spans="1:9" x14ac:dyDescent="0.25">
      <c r="A196" s="6">
        <f>Plantillas!A196</f>
        <v>9</v>
      </c>
      <c r="B196" s="13" t="str">
        <f>Plantillas!B196</f>
        <v>Alumno 3</v>
      </c>
      <c r="C196" s="6">
        <f>IFERROR(INDEX(Puntos_Jornada!$B$2:$M$25,MATCH(Plantillas!C196,Puntos_Jornada!$A$2:$A$25,0),MATCH($A196,Puntos_Jornada!$B$1:$M$1,0)),0)</f>
        <v>0</v>
      </c>
      <c r="D196" s="6">
        <f>IFERROR(INDEX(Puntos_Jornada!$B$2:$M$25,MATCH(Plantillas!D196,Puntos_Jornada!$A$2:$A$25,0),MATCH($A196,Puntos_Jornada!$B$1:$M$1,0)),0)</f>
        <v>0</v>
      </c>
      <c r="E196" s="6">
        <f>IFERROR(INDEX(Puntos_Jornada!$B$2:$M$25,MATCH(Plantillas!E196,Puntos_Jornada!$A$2:$A$25,0),MATCH($A196,Puntos_Jornada!$B$1:$M$1,0)),0)</f>
        <v>0</v>
      </c>
      <c r="F196" s="6">
        <f>IFERROR(INDEX(Puntos_Jornada!$B$2:$M$25,MATCH(Plantillas!F196,Puntos_Jornada!$A$2:$A$25,0),MATCH($A196,Puntos_Jornada!$B$1:$M$1,0)),0)</f>
        <v>0</v>
      </c>
      <c r="G196" s="6">
        <f>IFERROR(INDEX(Puntos_Jornada!$B$2:$M$25,MATCH(Plantillas!G196,Puntos_Jornada!$A$2:$A$25,0),MATCH($A196,Puntos_Jornada!$B$1:$M$1,0)),0)</f>
        <v>0</v>
      </c>
      <c r="H196" s="6">
        <f>IFERROR(INDEX(Puntos_Jornada!$B$2:$M$25,MATCH(Plantillas!H196,Puntos_Jornada!$A$2:$A$25,0),MATCH($A196,Puntos_Jornada!$B$1:$M$1,0)),0)</f>
        <v>0</v>
      </c>
      <c r="I196" s="15">
        <f t="shared" si="3"/>
        <v>0</v>
      </c>
    </row>
    <row r="197" spans="1:9" x14ac:dyDescent="0.25">
      <c r="A197" s="6">
        <f>Plantillas!A197</f>
        <v>9</v>
      </c>
      <c r="B197" s="13" t="str">
        <f>Plantillas!B197</f>
        <v>Alumno 4</v>
      </c>
      <c r="C197" s="6">
        <f>IFERROR(INDEX(Puntos_Jornada!$B$2:$M$25,MATCH(Plantillas!C197,Puntos_Jornada!$A$2:$A$25,0),MATCH($A197,Puntos_Jornada!$B$1:$M$1,0)),0)</f>
        <v>0</v>
      </c>
      <c r="D197" s="6">
        <f>IFERROR(INDEX(Puntos_Jornada!$B$2:$M$25,MATCH(Plantillas!D197,Puntos_Jornada!$A$2:$A$25,0),MATCH($A197,Puntos_Jornada!$B$1:$M$1,0)),0)</f>
        <v>0</v>
      </c>
      <c r="E197" s="6">
        <f>IFERROR(INDEX(Puntos_Jornada!$B$2:$M$25,MATCH(Plantillas!E197,Puntos_Jornada!$A$2:$A$25,0),MATCH($A197,Puntos_Jornada!$B$1:$M$1,0)),0)</f>
        <v>0</v>
      </c>
      <c r="F197" s="6">
        <f>IFERROR(INDEX(Puntos_Jornada!$B$2:$M$25,MATCH(Plantillas!F197,Puntos_Jornada!$A$2:$A$25,0),MATCH($A197,Puntos_Jornada!$B$1:$M$1,0)),0)</f>
        <v>0</v>
      </c>
      <c r="G197" s="6">
        <f>IFERROR(INDEX(Puntos_Jornada!$B$2:$M$25,MATCH(Plantillas!G197,Puntos_Jornada!$A$2:$A$25,0),MATCH($A197,Puntos_Jornada!$B$1:$M$1,0)),0)</f>
        <v>0</v>
      </c>
      <c r="H197" s="6">
        <f>IFERROR(INDEX(Puntos_Jornada!$B$2:$M$25,MATCH(Plantillas!H197,Puntos_Jornada!$A$2:$A$25,0),MATCH($A197,Puntos_Jornada!$B$1:$M$1,0)),0)</f>
        <v>0</v>
      </c>
      <c r="I197" s="15">
        <f t="shared" si="3"/>
        <v>0</v>
      </c>
    </row>
    <row r="198" spans="1:9" x14ac:dyDescent="0.25">
      <c r="A198" s="6">
        <f>Plantillas!A198</f>
        <v>9</v>
      </c>
      <c r="B198" s="13" t="str">
        <f>Plantillas!B198</f>
        <v>Alumno 5</v>
      </c>
      <c r="C198" s="6">
        <f>IFERROR(INDEX(Puntos_Jornada!$B$2:$M$25,MATCH(Plantillas!C198,Puntos_Jornada!$A$2:$A$25,0),MATCH($A198,Puntos_Jornada!$B$1:$M$1,0)),0)</f>
        <v>0</v>
      </c>
      <c r="D198" s="6">
        <f>IFERROR(INDEX(Puntos_Jornada!$B$2:$M$25,MATCH(Plantillas!D198,Puntos_Jornada!$A$2:$A$25,0),MATCH($A198,Puntos_Jornada!$B$1:$M$1,0)),0)</f>
        <v>0</v>
      </c>
      <c r="E198" s="6">
        <f>IFERROR(INDEX(Puntos_Jornada!$B$2:$M$25,MATCH(Plantillas!E198,Puntos_Jornada!$A$2:$A$25,0),MATCH($A198,Puntos_Jornada!$B$1:$M$1,0)),0)</f>
        <v>0</v>
      </c>
      <c r="F198" s="6">
        <f>IFERROR(INDEX(Puntos_Jornada!$B$2:$M$25,MATCH(Plantillas!F198,Puntos_Jornada!$A$2:$A$25,0),MATCH($A198,Puntos_Jornada!$B$1:$M$1,0)),0)</f>
        <v>0</v>
      </c>
      <c r="G198" s="6">
        <f>IFERROR(INDEX(Puntos_Jornada!$B$2:$M$25,MATCH(Plantillas!G198,Puntos_Jornada!$A$2:$A$25,0),MATCH($A198,Puntos_Jornada!$B$1:$M$1,0)),0)</f>
        <v>0</v>
      </c>
      <c r="H198" s="6">
        <f>IFERROR(INDEX(Puntos_Jornada!$B$2:$M$25,MATCH(Plantillas!H198,Puntos_Jornada!$A$2:$A$25,0),MATCH($A198,Puntos_Jornada!$B$1:$M$1,0)),0)</f>
        <v>0</v>
      </c>
      <c r="I198" s="15">
        <f t="shared" si="3"/>
        <v>0</v>
      </c>
    </row>
    <row r="199" spans="1:9" x14ac:dyDescent="0.25">
      <c r="A199" s="6">
        <f>Plantillas!A199</f>
        <v>9</v>
      </c>
      <c r="B199" s="13" t="str">
        <f>Plantillas!B199</f>
        <v>Alumno 6</v>
      </c>
      <c r="C199" s="6">
        <f>IFERROR(INDEX(Puntos_Jornada!$B$2:$M$25,MATCH(Plantillas!C199,Puntos_Jornada!$A$2:$A$25,0),MATCH($A199,Puntos_Jornada!$B$1:$M$1,0)),0)</f>
        <v>0</v>
      </c>
      <c r="D199" s="6">
        <f>IFERROR(INDEX(Puntos_Jornada!$B$2:$M$25,MATCH(Plantillas!D199,Puntos_Jornada!$A$2:$A$25,0),MATCH($A199,Puntos_Jornada!$B$1:$M$1,0)),0)</f>
        <v>0</v>
      </c>
      <c r="E199" s="6">
        <f>IFERROR(INDEX(Puntos_Jornada!$B$2:$M$25,MATCH(Plantillas!E199,Puntos_Jornada!$A$2:$A$25,0),MATCH($A199,Puntos_Jornada!$B$1:$M$1,0)),0)</f>
        <v>0</v>
      </c>
      <c r="F199" s="6">
        <f>IFERROR(INDEX(Puntos_Jornada!$B$2:$M$25,MATCH(Plantillas!F199,Puntos_Jornada!$A$2:$A$25,0),MATCH($A199,Puntos_Jornada!$B$1:$M$1,0)),0)</f>
        <v>0</v>
      </c>
      <c r="G199" s="6">
        <f>IFERROR(INDEX(Puntos_Jornada!$B$2:$M$25,MATCH(Plantillas!G199,Puntos_Jornada!$A$2:$A$25,0),MATCH($A199,Puntos_Jornada!$B$1:$M$1,0)),0)</f>
        <v>0</v>
      </c>
      <c r="H199" s="6">
        <f>IFERROR(INDEX(Puntos_Jornada!$B$2:$M$25,MATCH(Plantillas!H199,Puntos_Jornada!$A$2:$A$25,0),MATCH($A199,Puntos_Jornada!$B$1:$M$1,0)),0)</f>
        <v>0</v>
      </c>
      <c r="I199" s="15">
        <f t="shared" si="3"/>
        <v>0</v>
      </c>
    </row>
    <row r="200" spans="1:9" x14ac:dyDescent="0.25">
      <c r="A200" s="6">
        <f>Plantillas!A200</f>
        <v>9</v>
      </c>
      <c r="B200" s="13" t="str">
        <f>Plantillas!B200</f>
        <v>Alumno 7</v>
      </c>
      <c r="C200" s="6">
        <f>IFERROR(INDEX(Puntos_Jornada!$B$2:$M$25,MATCH(Plantillas!C200,Puntos_Jornada!$A$2:$A$25,0),MATCH($A200,Puntos_Jornada!$B$1:$M$1,0)),0)</f>
        <v>0</v>
      </c>
      <c r="D200" s="6">
        <f>IFERROR(INDEX(Puntos_Jornada!$B$2:$M$25,MATCH(Plantillas!D200,Puntos_Jornada!$A$2:$A$25,0),MATCH($A200,Puntos_Jornada!$B$1:$M$1,0)),0)</f>
        <v>0</v>
      </c>
      <c r="E200" s="6">
        <f>IFERROR(INDEX(Puntos_Jornada!$B$2:$M$25,MATCH(Plantillas!E200,Puntos_Jornada!$A$2:$A$25,0),MATCH($A200,Puntos_Jornada!$B$1:$M$1,0)),0)</f>
        <v>0</v>
      </c>
      <c r="F200" s="6">
        <f>IFERROR(INDEX(Puntos_Jornada!$B$2:$M$25,MATCH(Plantillas!F200,Puntos_Jornada!$A$2:$A$25,0),MATCH($A200,Puntos_Jornada!$B$1:$M$1,0)),0)</f>
        <v>0</v>
      </c>
      <c r="G200" s="6">
        <f>IFERROR(INDEX(Puntos_Jornada!$B$2:$M$25,MATCH(Plantillas!G200,Puntos_Jornada!$A$2:$A$25,0),MATCH($A200,Puntos_Jornada!$B$1:$M$1,0)),0)</f>
        <v>0</v>
      </c>
      <c r="H200" s="6">
        <f>IFERROR(INDEX(Puntos_Jornada!$B$2:$M$25,MATCH(Plantillas!H200,Puntos_Jornada!$A$2:$A$25,0),MATCH($A200,Puntos_Jornada!$B$1:$M$1,0)),0)</f>
        <v>0</v>
      </c>
      <c r="I200" s="15">
        <f t="shared" si="3"/>
        <v>0</v>
      </c>
    </row>
    <row r="201" spans="1:9" x14ac:dyDescent="0.25">
      <c r="A201" s="6">
        <f>Plantillas!A201</f>
        <v>9</v>
      </c>
      <c r="B201" s="13" t="str">
        <f>Plantillas!B201</f>
        <v>Alumno 8</v>
      </c>
      <c r="C201" s="6">
        <f>IFERROR(INDEX(Puntos_Jornada!$B$2:$M$25,MATCH(Plantillas!C201,Puntos_Jornada!$A$2:$A$25,0),MATCH($A201,Puntos_Jornada!$B$1:$M$1,0)),0)</f>
        <v>0</v>
      </c>
      <c r="D201" s="6">
        <f>IFERROR(INDEX(Puntos_Jornada!$B$2:$M$25,MATCH(Plantillas!D201,Puntos_Jornada!$A$2:$A$25,0),MATCH($A201,Puntos_Jornada!$B$1:$M$1,0)),0)</f>
        <v>0</v>
      </c>
      <c r="E201" s="6">
        <f>IFERROR(INDEX(Puntos_Jornada!$B$2:$M$25,MATCH(Plantillas!E201,Puntos_Jornada!$A$2:$A$25,0),MATCH($A201,Puntos_Jornada!$B$1:$M$1,0)),0)</f>
        <v>0</v>
      </c>
      <c r="F201" s="6">
        <f>IFERROR(INDEX(Puntos_Jornada!$B$2:$M$25,MATCH(Plantillas!F201,Puntos_Jornada!$A$2:$A$25,0),MATCH($A201,Puntos_Jornada!$B$1:$M$1,0)),0)</f>
        <v>0</v>
      </c>
      <c r="G201" s="6">
        <f>IFERROR(INDEX(Puntos_Jornada!$B$2:$M$25,MATCH(Plantillas!G201,Puntos_Jornada!$A$2:$A$25,0),MATCH($A201,Puntos_Jornada!$B$1:$M$1,0)),0)</f>
        <v>0</v>
      </c>
      <c r="H201" s="6">
        <f>IFERROR(INDEX(Puntos_Jornada!$B$2:$M$25,MATCH(Plantillas!H201,Puntos_Jornada!$A$2:$A$25,0),MATCH($A201,Puntos_Jornada!$B$1:$M$1,0)),0)</f>
        <v>0</v>
      </c>
      <c r="I201" s="15">
        <f t="shared" si="3"/>
        <v>0</v>
      </c>
    </row>
    <row r="202" spans="1:9" x14ac:dyDescent="0.25">
      <c r="A202" s="6">
        <f>Plantillas!A202</f>
        <v>9</v>
      </c>
      <c r="B202" s="13" t="str">
        <f>Plantillas!B202</f>
        <v>Alumno 9</v>
      </c>
      <c r="C202" s="6">
        <f>IFERROR(INDEX(Puntos_Jornada!$B$2:$M$25,MATCH(Plantillas!C202,Puntos_Jornada!$A$2:$A$25,0),MATCH($A202,Puntos_Jornada!$B$1:$M$1,0)),0)</f>
        <v>0</v>
      </c>
      <c r="D202" s="6">
        <f>IFERROR(INDEX(Puntos_Jornada!$B$2:$M$25,MATCH(Plantillas!D202,Puntos_Jornada!$A$2:$A$25,0),MATCH($A202,Puntos_Jornada!$B$1:$M$1,0)),0)</f>
        <v>0</v>
      </c>
      <c r="E202" s="6">
        <f>IFERROR(INDEX(Puntos_Jornada!$B$2:$M$25,MATCH(Plantillas!E202,Puntos_Jornada!$A$2:$A$25,0),MATCH($A202,Puntos_Jornada!$B$1:$M$1,0)),0)</f>
        <v>0</v>
      </c>
      <c r="F202" s="6">
        <f>IFERROR(INDEX(Puntos_Jornada!$B$2:$M$25,MATCH(Plantillas!F202,Puntos_Jornada!$A$2:$A$25,0),MATCH($A202,Puntos_Jornada!$B$1:$M$1,0)),0)</f>
        <v>0</v>
      </c>
      <c r="G202" s="6">
        <f>IFERROR(INDEX(Puntos_Jornada!$B$2:$M$25,MATCH(Plantillas!G202,Puntos_Jornada!$A$2:$A$25,0),MATCH($A202,Puntos_Jornada!$B$1:$M$1,0)),0)</f>
        <v>0</v>
      </c>
      <c r="H202" s="6">
        <f>IFERROR(INDEX(Puntos_Jornada!$B$2:$M$25,MATCH(Plantillas!H202,Puntos_Jornada!$A$2:$A$25,0),MATCH($A202,Puntos_Jornada!$B$1:$M$1,0)),0)</f>
        <v>0</v>
      </c>
      <c r="I202" s="15">
        <f t="shared" si="3"/>
        <v>0</v>
      </c>
    </row>
    <row r="203" spans="1:9" x14ac:dyDescent="0.25">
      <c r="A203" s="6">
        <f>Plantillas!A203</f>
        <v>9</v>
      </c>
      <c r="B203" s="13" t="str">
        <f>Plantillas!B203</f>
        <v>Alumno 10</v>
      </c>
      <c r="C203" s="6">
        <f>IFERROR(INDEX(Puntos_Jornada!$B$2:$M$25,MATCH(Plantillas!C203,Puntos_Jornada!$A$2:$A$25,0),MATCH($A203,Puntos_Jornada!$B$1:$M$1,0)),0)</f>
        <v>0</v>
      </c>
      <c r="D203" s="6">
        <f>IFERROR(INDEX(Puntos_Jornada!$B$2:$M$25,MATCH(Plantillas!D203,Puntos_Jornada!$A$2:$A$25,0),MATCH($A203,Puntos_Jornada!$B$1:$M$1,0)),0)</f>
        <v>0</v>
      </c>
      <c r="E203" s="6">
        <f>IFERROR(INDEX(Puntos_Jornada!$B$2:$M$25,MATCH(Plantillas!E203,Puntos_Jornada!$A$2:$A$25,0),MATCH($A203,Puntos_Jornada!$B$1:$M$1,0)),0)</f>
        <v>0</v>
      </c>
      <c r="F203" s="6">
        <f>IFERROR(INDEX(Puntos_Jornada!$B$2:$M$25,MATCH(Plantillas!F203,Puntos_Jornada!$A$2:$A$25,0),MATCH($A203,Puntos_Jornada!$B$1:$M$1,0)),0)</f>
        <v>0</v>
      </c>
      <c r="G203" s="6">
        <f>IFERROR(INDEX(Puntos_Jornada!$B$2:$M$25,MATCH(Plantillas!G203,Puntos_Jornada!$A$2:$A$25,0),MATCH($A203,Puntos_Jornada!$B$1:$M$1,0)),0)</f>
        <v>0</v>
      </c>
      <c r="H203" s="6">
        <f>IFERROR(INDEX(Puntos_Jornada!$B$2:$M$25,MATCH(Plantillas!H203,Puntos_Jornada!$A$2:$A$25,0),MATCH($A203,Puntos_Jornada!$B$1:$M$1,0)),0)</f>
        <v>0</v>
      </c>
      <c r="I203" s="15">
        <f t="shared" si="3"/>
        <v>0</v>
      </c>
    </row>
    <row r="204" spans="1:9" x14ac:dyDescent="0.25">
      <c r="A204" s="6">
        <f>Plantillas!A204</f>
        <v>9</v>
      </c>
      <c r="B204" s="13" t="str">
        <f>Plantillas!B204</f>
        <v>Alumno 11</v>
      </c>
      <c r="C204" s="6">
        <f>IFERROR(INDEX(Puntos_Jornada!$B$2:$M$25,MATCH(Plantillas!C204,Puntos_Jornada!$A$2:$A$25,0),MATCH($A204,Puntos_Jornada!$B$1:$M$1,0)),0)</f>
        <v>0</v>
      </c>
      <c r="D204" s="6">
        <f>IFERROR(INDEX(Puntos_Jornada!$B$2:$M$25,MATCH(Plantillas!D204,Puntos_Jornada!$A$2:$A$25,0),MATCH($A204,Puntos_Jornada!$B$1:$M$1,0)),0)</f>
        <v>0</v>
      </c>
      <c r="E204" s="6">
        <f>IFERROR(INDEX(Puntos_Jornada!$B$2:$M$25,MATCH(Plantillas!E204,Puntos_Jornada!$A$2:$A$25,0),MATCH($A204,Puntos_Jornada!$B$1:$M$1,0)),0)</f>
        <v>0</v>
      </c>
      <c r="F204" s="6">
        <f>IFERROR(INDEX(Puntos_Jornada!$B$2:$M$25,MATCH(Plantillas!F204,Puntos_Jornada!$A$2:$A$25,0),MATCH($A204,Puntos_Jornada!$B$1:$M$1,0)),0)</f>
        <v>0</v>
      </c>
      <c r="G204" s="6">
        <f>IFERROR(INDEX(Puntos_Jornada!$B$2:$M$25,MATCH(Plantillas!G204,Puntos_Jornada!$A$2:$A$25,0),MATCH($A204,Puntos_Jornada!$B$1:$M$1,0)),0)</f>
        <v>0</v>
      </c>
      <c r="H204" s="6">
        <f>IFERROR(INDEX(Puntos_Jornada!$B$2:$M$25,MATCH(Plantillas!H204,Puntos_Jornada!$A$2:$A$25,0),MATCH($A204,Puntos_Jornada!$B$1:$M$1,0)),0)</f>
        <v>0</v>
      </c>
      <c r="I204" s="15">
        <f t="shared" si="3"/>
        <v>0</v>
      </c>
    </row>
    <row r="205" spans="1:9" x14ac:dyDescent="0.25">
      <c r="A205" s="6">
        <f>Plantillas!A205</f>
        <v>9</v>
      </c>
      <c r="B205" s="13" t="str">
        <f>Plantillas!B205</f>
        <v>Alumno 12</v>
      </c>
      <c r="C205" s="6">
        <f>IFERROR(INDEX(Puntos_Jornada!$B$2:$M$25,MATCH(Plantillas!C205,Puntos_Jornada!$A$2:$A$25,0),MATCH($A205,Puntos_Jornada!$B$1:$M$1,0)),0)</f>
        <v>0</v>
      </c>
      <c r="D205" s="6">
        <f>IFERROR(INDEX(Puntos_Jornada!$B$2:$M$25,MATCH(Plantillas!D205,Puntos_Jornada!$A$2:$A$25,0),MATCH($A205,Puntos_Jornada!$B$1:$M$1,0)),0)</f>
        <v>0</v>
      </c>
      <c r="E205" s="6">
        <f>IFERROR(INDEX(Puntos_Jornada!$B$2:$M$25,MATCH(Plantillas!E205,Puntos_Jornada!$A$2:$A$25,0),MATCH($A205,Puntos_Jornada!$B$1:$M$1,0)),0)</f>
        <v>0</v>
      </c>
      <c r="F205" s="6">
        <f>IFERROR(INDEX(Puntos_Jornada!$B$2:$M$25,MATCH(Plantillas!F205,Puntos_Jornada!$A$2:$A$25,0),MATCH($A205,Puntos_Jornada!$B$1:$M$1,0)),0)</f>
        <v>0</v>
      </c>
      <c r="G205" s="6">
        <f>IFERROR(INDEX(Puntos_Jornada!$B$2:$M$25,MATCH(Plantillas!G205,Puntos_Jornada!$A$2:$A$25,0),MATCH($A205,Puntos_Jornada!$B$1:$M$1,0)),0)</f>
        <v>0</v>
      </c>
      <c r="H205" s="6">
        <f>IFERROR(INDEX(Puntos_Jornada!$B$2:$M$25,MATCH(Plantillas!H205,Puntos_Jornada!$A$2:$A$25,0),MATCH($A205,Puntos_Jornada!$B$1:$M$1,0)),0)</f>
        <v>0</v>
      </c>
      <c r="I205" s="15">
        <f t="shared" si="3"/>
        <v>0</v>
      </c>
    </row>
    <row r="206" spans="1:9" x14ac:dyDescent="0.25">
      <c r="A206" s="6">
        <f>Plantillas!A206</f>
        <v>9</v>
      </c>
      <c r="B206" s="13" t="str">
        <f>Plantillas!B206</f>
        <v>Alumno 13</v>
      </c>
      <c r="C206" s="6">
        <f>IFERROR(INDEX(Puntos_Jornada!$B$2:$M$25,MATCH(Plantillas!C206,Puntos_Jornada!$A$2:$A$25,0),MATCH($A206,Puntos_Jornada!$B$1:$M$1,0)),0)</f>
        <v>0</v>
      </c>
      <c r="D206" s="6">
        <f>IFERROR(INDEX(Puntos_Jornada!$B$2:$M$25,MATCH(Plantillas!D206,Puntos_Jornada!$A$2:$A$25,0),MATCH($A206,Puntos_Jornada!$B$1:$M$1,0)),0)</f>
        <v>0</v>
      </c>
      <c r="E206" s="6">
        <f>IFERROR(INDEX(Puntos_Jornada!$B$2:$M$25,MATCH(Plantillas!E206,Puntos_Jornada!$A$2:$A$25,0),MATCH($A206,Puntos_Jornada!$B$1:$M$1,0)),0)</f>
        <v>0</v>
      </c>
      <c r="F206" s="6">
        <f>IFERROR(INDEX(Puntos_Jornada!$B$2:$M$25,MATCH(Plantillas!F206,Puntos_Jornada!$A$2:$A$25,0),MATCH($A206,Puntos_Jornada!$B$1:$M$1,0)),0)</f>
        <v>0</v>
      </c>
      <c r="G206" s="6">
        <f>IFERROR(INDEX(Puntos_Jornada!$B$2:$M$25,MATCH(Plantillas!G206,Puntos_Jornada!$A$2:$A$25,0),MATCH($A206,Puntos_Jornada!$B$1:$M$1,0)),0)</f>
        <v>0</v>
      </c>
      <c r="H206" s="6">
        <f>IFERROR(INDEX(Puntos_Jornada!$B$2:$M$25,MATCH(Plantillas!H206,Puntos_Jornada!$A$2:$A$25,0),MATCH($A206,Puntos_Jornada!$B$1:$M$1,0)),0)</f>
        <v>0</v>
      </c>
      <c r="I206" s="15">
        <f t="shared" si="3"/>
        <v>0</v>
      </c>
    </row>
    <row r="207" spans="1:9" x14ac:dyDescent="0.25">
      <c r="A207" s="6">
        <f>Plantillas!A207</f>
        <v>9</v>
      </c>
      <c r="B207" s="13" t="str">
        <f>Plantillas!B207</f>
        <v>Alumno 14</v>
      </c>
      <c r="C207" s="6">
        <f>IFERROR(INDEX(Puntos_Jornada!$B$2:$M$25,MATCH(Plantillas!C207,Puntos_Jornada!$A$2:$A$25,0),MATCH($A207,Puntos_Jornada!$B$1:$M$1,0)),0)</f>
        <v>0</v>
      </c>
      <c r="D207" s="6">
        <f>IFERROR(INDEX(Puntos_Jornada!$B$2:$M$25,MATCH(Plantillas!D207,Puntos_Jornada!$A$2:$A$25,0),MATCH($A207,Puntos_Jornada!$B$1:$M$1,0)),0)</f>
        <v>0</v>
      </c>
      <c r="E207" s="6">
        <f>IFERROR(INDEX(Puntos_Jornada!$B$2:$M$25,MATCH(Plantillas!E207,Puntos_Jornada!$A$2:$A$25,0),MATCH($A207,Puntos_Jornada!$B$1:$M$1,0)),0)</f>
        <v>0</v>
      </c>
      <c r="F207" s="6">
        <f>IFERROR(INDEX(Puntos_Jornada!$B$2:$M$25,MATCH(Plantillas!F207,Puntos_Jornada!$A$2:$A$25,0),MATCH($A207,Puntos_Jornada!$B$1:$M$1,0)),0)</f>
        <v>0</v>
      </c>
      <c r="G207" s="6">
        <f>IFERROR(INDEX(Puntos_Jornada!$B$2:$M$25,MATCH(Plantillas!G207,Puntos_Jornada!$A$2:$A$25,0),MATCH($A207,Puntos_Jornada!$B$1:$M$1,0)),0)</f>
        <v>0</v>
      </c>
      <c r="H207" s="6">
        <f>IFERROR(INDEX(Puntos_Jornada!$B$2:$M$25,MATCH(Plantillas!H207,Puntos_Jornada!$A$2:$A$25,0),MATCH($A207,Puntos_Jornada!$B$1:$M$1,0)),0)</f>
        <v>0</v>
      </c>
      <c r="I207" s="15">
        <f t="shared" si="3"/>
        <v>0</v>
      </c>
    </row>
    <row r="208" spans="1:9" x14ac:dyDescent="0.25">
      <c r="A208" s="6">
        <f>Plantillas!A208</f>
        <v>9</v>
      </c>
      <c r="B208" s="13" t="str">
        <f>Plantillas!B208</f>
        <v>Alumno 15</v>
      </c>
      <c r="C208" s="6">
        <f>IFERROR(INDEX(Puntos_Jornada!$B$2:$M$25,MATCH(Plantillas!C208,Puntos_Jornada!$A$2:$A$25,0),MATCH($A208,Puntos_Jornada!$B$1:$M$1,0)),0)</f>
        <v>0</v>
      </c>
      <c r="D208" s="6">
        <f>IFERROR(INDEX(Puntos_Jornada!$B$2:$M$25,MATCH(Plantillas!D208,Puntos_Jornada!$A$2:$A$25,0),MATCH($A208,Puntos_Jornada!$B$1:$M$1,0)),0)</f>
        <v>0</v>
      </c>
      <c r="E208" s="6">
        <f>IFERROR(INDEX(Puntos_Jornada!$B$2:$M$25,MATCH(Plantillas!E208,Puntos_Jornada!$A$2:$A$25,0),MATCH($A208,Puntos_Jornada!$B$1:$M$1,0)),0)</f>
        <v>0</v>
      </c>
      <c r="F208" s="6">
        <f>IFERROR(INDEX(Puntos_Jornada!$B$2:$M$25,MATCH(Plantillas!F208,Puntos_Jornada!$A$2:$A$25,0),MATCH($A208,Puntos_Jornada!$B$1:$M$1,0)),0)</f>
        <v>0</v>
      </c>
      <c r="G208" s="6">
        <f>IFERROR(INDEX(Puntos_Jornada!$B$2:$M$25,MATCH(Plantillas!G208,Puntos_Jornada!$A$2:$A$25,0),MATCH($A208,Puntos_Jornada!$B$1:$M$1,0)),0)</f>
        <v>0</v>
      </c>
      <c r="H208" s="6">
        <f>IFERROR(INDEX(Puntos_Jornada!$B$2:$M$25,MATCH(Plantillas!H208,Puntos_Jornada!$A$2:$A$25,0),MATCH($A208,Puntos_Jornada!$B$1:$M$1,0)),0)</f>
        <v>0</v>
      </c>
      <c r="I208" s="15">
        <f t="shared" si="3"/>
        <v>0</v>
      </c>
    </row>
    <row r="209" spans="1:9" x14ac:dyDescent="0.25">
      <c r="A209" s="6">
        <f>Plantillas!A209</f>
        <v>9</v>
      </c>
      <c r="B209" s="13" t="str">
        <f>Plantillas!B209</f>
        <v>Alumno 16</v>
      </c>
      <c r="C209" s="6">
        <f>IFERROR(INDEX(Puntos_Jornada!$B$2:$M$25,MATCH(Plantillas!C209,Puntos_Jornada!$A$2:$A$25,0),MATCH($A209,Puntos_Jornada!$B$1:$M$1,0)),0)</f>
        <v>0</v>
      </c>
      <c r="D209" s="6">
        <f>IFERROR(INDEX(Puntos_Jornada!$B$2:$M$25,MATCH(Plantillas!D209,Puntos_Jornada!$A$2:$A$25,0),MATCH($A209,Puntos_Jornada!$B$1:$M$1,0)),0)</f>
        <v>0</v>
      </c>
      <c r="E209" s="6">
        <f>IFERROR(INDEX(Puntos_Jornada!$B$2:$M$25,MATCH(Plantillas!E209,Puntos_Jornada!$A$2:$A$25,0),MATCH($A209,Puntos_Jornada!$B$1:$M$1,0)),0)</f>
        <v>0</v>
      </c>
      <c r="F209" s="6">
        <f>IFERROR(INDEX(Puntos_Jornada!$B$2:$M$25,MATCH(Plantillas!F209,Puntos_Jornada!$A$2:$A$25,0),MATCH($A209,Puntos_Jornada!$B$1:$M$1,0)),0)</f>
        <v>0</v>
      </c>
      <c r="G209" s="6">
        <f>IFERROR(INDEX(Puntos_Jornada!$B$2:$M$25,MATCH(Plantillas!G209,Puntos_Jornada!$A$2:$A$25,0),MATCH($A209,Puntos_Jornada!$B$1:$M$1,0)),0)</f>
        <v>0</v>
      </c>
      <c r="H209" s="6">
        <f>IFERROR(INDEX(Puntos_Jornada!$B$2:$M$25,MATCH(Plantillas!H209,Puntos_Jornada!$A$2:$A$25,0),MATCH($A209,Puntos_Jornada!$B$1:$M$1,0)),0)</f>
        <v>0</v>
      </c>
      <c r="I209" s="15">
        <f t="shared" si="3"/>
        <v>0</v>
      </c>
    </row>
    <row r="210" spans="1:9" x14ac:dyDescent="0.25">
      <c r="A210" s="6">
        <f>Plantillas!A210</f>
        <v>9</v>
      </c>
      <c r="B210" s="13" t="str">
        <f>Plantillas!B210</f>
        <v>Alumno 17</v>
      </c>
      <c r="C210" s="6">
        <f>IFERROR(INDEX(Puntos_Jornada!$B$2:$M$25,MATCH(Plantillas!C210,Puntos_Jornada!$A$2:$A$25,0),MATCH($A210,Puntos_Jornada!$B$1:$M$1,0)),0)</f>
        <v>0</v>
      </c>
      <c r="D210" s="6">
        <f>IFERROR(INDEX(Puntos_Jornada!$B$2:$M$25,MATCH(Plantillas!D210,Puntos_Jornada!$A$2:$A$25,0),MATCH($A210,Puntos_Jornada!$B$1:$M$1,0)),0)</f>
        <v>0</v>
      </c>
      <c r="E210" s="6">
        <f>IFERROR(INDEX(Puntos_Jornada!$B$2:$M$25,MATCH(Plantillas!E210,Puntos_Jornada!$A$2:$A$25,0),MATCH($A210,Puntos_Jornada!$B$1:$M$1,0)),0)</f>
        <v>0</v>
      </c>
      <c r="F210" s="6">
        <f>IFERROR(INDEX(Puntos_Jornada!$B$2:$M$25,MATCH(Plantillas!F210,Puntos_Jornada!$A$2:$A$25,0),MATCH($A210,Puntos_Jornada!$B$1:$M$1,0)),0)</f>
        <v>0</v>
      </c>
      <c r="G210" s="6">
        <f>IFERROR(INDEX(Puntos_Jornada!$B$2:$M$25,MATCH(Plantillas!G210,Puntos_Jornada!$A$2:$A$25,0),MATCH($A210,Puntos_Jornada!$B$1:$M$1,0)),0)</f>
        <v>0</v>
      </c>
      <c r="H210" s="6">
        <f>IFERROR(INDEX(Puntos_Jornada!$B$2:$M$25,MATCH(Plantillas!H210,Puntos_Jornada!$A$2:$A$25,0),MATCH($A210,Puntos_Jornada!$B$1:$M$1,0)),0)</f>
        <v>0</v>
      </c>
      <c r="I210" s="15">
        <f t="shared" si="3"/>
        <v>0</v>
      </c>
    </row>
    <row r="211" spans="1:9" x14ac:dyDescent="0.25">
      <c r="A211" s="6">
        <f>Plantillas!A211</f>
        <v>9</v>
      </c>
      <c r="B211" s="13" t="str">
        <f>Plantillas!B211</f>
        <v>Alumno 18</v>
      </c>
      <c r="C211" s="6">
        <f>IFERROR(INDEX(Puntos_Jornada!$B$2:$M$25,MATCH(Plantillas!C211,Puntos_Jornada!$A$2:$A$25,0),MATCH($A211,Puntos_Jornada!$B$1:$M$1,0)),0)</f>
        <v>0</v>
      </c>
      <c r="D211" s="6">
        <f>IFERROR(INDEX(Puntos_Jornada!$B$2:$M$25,MATCH(Plantillas!D211,Puntos_Jornada!$A$2:$A$25,0),MATCH($A211,Puntos_Jornada!$B$1:$M$1,0)),0)</f>
        <v>0</v>
      </c>
      <c r="E211" s="6">
        <f>IFERROR(INDEX(Puntos_Jornada!$B$2:$M$25,MATCH(Plantillas!E211,Puntos_Jornada!$A$2:$A$25,0),MATCH($A211,Puntos_Jornada!$B$1:$M$1,0)),0)</f>
        <v>0</v>
      </c>
      <c r="F211" s="6">
        <f>IFERROR(INDEX(Puntos_Jornada!$B$2:$M$25,MATCH(Plantillas!F211,Puntos_Jornada!$A$2:$A$25,0),MATCH($A211,Puntos_Jornada!$B$1:$M$1,0)),0)</f>
        <v>0</v>
      </c>
      <c r="G211" s="6">
        <f>IFERROR(INDEX(Puntos_Jornada!$B$2:$M$25,MATCH(Plantillas!G211,Puntos_Jornada!$A$2:$A$25,0),MATCH($A211,Puntos_Jornada!$B$1:$M$1,0)),0)</f>
        <v>0</v>
      </c>
      <c r="H211" s="6">
        <f>IFERROR(INDEX(Puntos_Jornada!$B$2:$M$25,MATCH(Plantillas!H211,Puntos_Jornada!$A$2:$A$25,0),MATCH($A211,Puntos_Jornada!$B$1:$M$1,0)),0)</f>
        <v>0</v>
      </c>
      <c r="I211" s="15">
        <f t="shared" si="3"/>
        <v>0</v>
      </c>
    </row>
    <row r="212" spans="1:9" x14ac:dyDescent="0.25">
      <c r="A212" s="6">
        <f>Plantillas!A212</f>
        <v>9</v>
      </c>
      <c r="B212" s="13" t="str">
        <f>Plantillas!B212</f>
        <v>Alumno 19</v>
      </c>
      <c r="C212" s="6">
        <f>IFERROR(INDEX(Puntos_Jornada!$B$2:$M$25,MATCH(Plantillas!C212,Puntos_Jornada!$A$2:$A$25,0),MATCH($A212,Puntos_Jornada!$B$1:$M$1,0)),0)</f>
        <v>0</v>
      </c>
      <c r="D212" s="6">
        <f>IFERROR(INDEX(Puntos_Jornada!$B$2:$M$25,MATCH(Plantillas!D212,Puntos_Jornada!$A$2:$A$25,0),MATCH($A212,Puntos_Jornada!$B$1:$M$1,0)),0)</f>
        <v>0</v>
      </c>
      <c r="E212" s="6">
        <f>IFERROR(INDEX(Puntos_Jornada!$B$2:$M$25,MATCH(Plantillas!E212,Puntos_Jornada!$A$2:$A$25,0),MATCH($A212,Puntos_Jornada!$B$1:$M$1,0)),0)</f>
        <v>0</v>
      </c>
      <c r="F212" s="6">
        <f>IFERROR(INDEX(Puntos_Jornada!$B$2:$M$25,MATCH(Plantillas!F212,Puntos_Jornada!$A$2:$A$25,0),MATCH($A212,Puntos_Jornada!$B$1:$M$1,0)),0)</f>
        <v>0</v>
      </c>
      <c r="G212" s="6">
        <f>IFERROR(INDEX(Puntos_Jornada!$B$2:$M$25,MATCH(Plantillas!G212,Puntos_Jornada!$A$2:$A$25,0),MATCH($A212,Puntos_Jornada!$B$1:$M$1,0)),0)</f>
        <v>0</v>
      </c>
      <c r="H212" s="6">
        <f>IFERROR(INDEX(Puntos_Jornada!$B$2:$M$25,MATCH(Plantillas!H212,Puntos_Jornada!$A$2:$A$25,0),MATCH($A212,Puntos_Jornada!$B$1:$M$1,0)),0)</f>
        <v>0</v>
      </c>
      <c r="I212" s="15">
        <f t="shared" si="3"/>
        <v>0</v>
      </c>
    </row>
    <row r="213" spans="1:9" x14ac:dyDescent="0.25">
      <c r="A213" s="6">
        <f>Plantillas!A213</f>
        <v>9</v>
      </c>
      <c r="B213" s="13" t="str">
        <f>Plantillas!B213</f>
        <v>Alumno 20</v>
      </c>
      <c r="C213" s="6">
        <f>IFERROR(INDEX(Puntos_Jornada!$B$2:$M$25,MATCH(Plantillas!C213,Puntos_Jornada!$A$2:$A$25,0),MATCH($A213,Puntos_Jornada!$B$1:$M$1,0)),0)</f>
        <v>0</v>
      </c>
      <c r="D213" s="6">
        <f>IFERROR(INDEX(Puntos_Jornada!$B$2:$M$25,MATCH(Plantillas!D213,Puntos_Jornada!$A$2:$A$25,0),MATCH($A213,Puntos_Jornada!$B$1:$M$1,0)),0)</f>
        <v>0</v>
      </c>
      <c r="E213" s="6">
        <f>IFERROR(INDEX(Puntos_Jornada!$B$2:$M$25,MATCH(Plantillas!E213,Puntos_Jornada!$A$2:$A$25,0),MATCH($A213,Puntos_Jornada!$B$1:$M$1,0)),0)</f>
        <v>0</v>
      </c>
      <c r="F213" s="6">
        <f>IFERROR(INDEX(Puntos_Jornada!$B$2:$M$25,MATCH(Plantillas!F213,Puntos_Jornada!$A$2:$A$25,0),MATCH($A213,Puntos_Jornada!$B$1:$M$1,0)),0)</f>
        <v>0</v>
      </c>
      <c r="G213" s="6">
        <f>IFERROR(INDEX(Puntos_Jornada!$B$2:$M$25,MATCH(Plantillas!G213,Puntos_Jornada!$A$2:$A$25,0),MATCH($A213,Puntos_Jornada!$B$1:$M$1,0)),0)</f>
        <v>0</v>
      </c>
      <c r="H213" s="6">
        <f>IFERROR(INDEX(Puntos_Jornada!$B$2:$M$25,MATCH(Plantillas!H213,Puntos_Jornada!$A$2:$A$25,0),MATCH($A213,Puntos_Jornada!$B$1:$M$1,0)),0)</f>
        <v>0</v>
      </c>
      <c r="I213" s="15">
        <f t="shared" si="3"/>
        <v>0</v>
      </c>
    </row>
    <row r="214" spans="1:9" x14ac:dyDescent="0.25">
      <c r="A214" s="6">
        <f>Plantillas!A214</f>
        <v>9</v>
      </c>
      <c r="B214" s="13" t="str">
        <f>Plantillas!B214</f>
        <v>Alumno 21</v>
      </c>
      <c r="C214" s="6">
        <f>IFERROR(INDEX(Puntos_Jornada!$B$2:$M$25,MATCH(Plantillas!C214,Puntos_Jornada!$A$2:$A$25,0),MATCH($A214,Puntos_Jornada!$B$1:$M$1,0)),0)</f>
        <v>0</v>
      </c>
      <c r="D214" s="6">
        <f>IFERROR(INDEX(Puntos_Jornada!$B$2:$M$25,MATCH(Plantillas!D214,Puntos_Jornada!$A$2:$A$25,0),MATCH($A214,Puntos_Jornada!$B$1:$M$1,0)),0)</f>
        <v>0</v>
      </c>
      <c r="E214" s="6">
        <f>IFERROR(INDEX(Puntos_Jornada!$B$2:$M$25,MATCH(Plantillas!E214,Puntos_Jornada!$A$2:$A$25,0),MATCH($A214,Puntos_Jornada!$B$1:$M$1,0)),0)</f>
        <v>0</v>
      </c>
      <c r="F214" s="6">
        <f>IFERROR(INDEX(Puntos_Jornada!$B$2:$M$25,MATCH(Plantillas!F214,Puntos_Jornada!$A$2:$A$25,0),MATCH($A214,Puntos_Jornada!$B$1:$M$1,0)),0)</f>
        <v>0</v>
      </c>
      <c r="G214" s="6">
        <f>IFERROR(INDEX(Puntos_Jornada!$B$2:$M$25,MATCH(Plantillas!G214,Puntos_Jornada!$A$2:$A$25,0),MATCH($A214,Puntos_Jornada!$B$1:$M$1,0)),0)</f>
        <v>0</v>
      </c>
      <c r="H214" s="6">
        <f>IFERROR(INDEX(Puntos_Jornada!$B$2:$M$25,MATCH(Plantillas!H214,Puntos_Jornada!$A$2:$A$25,0),MATCH($A214,Puntos_Jornada!$B$1:$M$1,0)),0)</f>
        <v>0</v>
      </c>
      <c r="I214" s="15">
        <f t="shared" si="3"/>
        <v>0</v>
      </c>
    </row>
    <row r="215" spans="1:9" x14ac:dyDescent="0.25">
      <c r="A215" s="6">
        <f>Plantillas!A215</f>
        <v>9</v>
      </c>
      <c r="B215" s="13" t="str">
        <f>Plantillas!B215</f>
        <v>Alumno 22</v>
      </c>
      <c r="C215" s="6">
        <f>IFERROR(INDEX(Puntos_Jornada!$B$2:$M$25,MATCH(Plantillas!C215,Puntos_Jornada!$A$2:$A$25,0),MATCH($A215,Puntos_Jornada!$B$1:$M$1,0)),0)</f>
        <v>0</v>
      </c>
      <c r="D215" s="6">
        <f>IFERROR(INDEX(Puntos_Jornada!$B$2:$M$25,MATCH(Plantillas!D215,Puntos_Jornada!$A$2:$A$25,0),MATCH($A215,Puntos_Jornada!$B$1:$M$1,0)),0)</f>
        <v>0</v>
      </c>
      <c r="E215" s="6">
        <f>IFERROR(INDEX(Puntos_Jornada!$B$2:$M$25,MATCH(Plantillas!E215,Puntos_Jornada!$A$2:$A$25,0),MATCH($A215,Puntos_Jornada!$B$1:$M$1,0)),0)</f>
        <v>0</v>
      </c>
      <c r="F215" s="6">
        <f>IFERROR(INDEX(Puntos_Jornada!$B$2:$M$25,MATCH(Plantillas!F215,Puntos_Jornada!$A$2:$A$25,0),MATCH($A215,Puntos_Jornada!$B$1:$M$1,0)),0)</f>
        <v>0</v>
      </c>
      <c r="G215" s="6">
        <f>IFERROR(INDEX(Puntos_Jornada!$B$2:$M$25,MATCH(Plantillas!G215,Puntos_Jornada!$A$2:$A$25,0),MATCH($A215,Puntos_Jornada!$B$1:$M$1,0)),0)</f>
        <v>0</v>
      </c>
      <c r="H215" s="6">
        <f>IFERROR(INDEX(Puntos_Jornada!$B$2:$M$25,MATCH(Plantillas!H215,Puntos_Jornada!$A$2:$A$25,0),MATCH($A215,Puntos_Jornada!$B$1:$M$1,0)),0)</f>
        <v>0</v>
      </c>
      <c r="I215" s="15">
        <f t="shared" si="3"/>
        <v>0</v>
      </c>
    </row>
    <row r="216" spans="1:9" x14ac:dyDescent="0.25">
      <c r="A216" s="6">
        <f>Plantillas!A216</f>
        <v>9</v>
      </c>
      <c r="B216" s="13" t="str">
        <f>Plantillas!B216</f>
        <v>Alumno 23</v>
      </c>
      <c r="C216" s="6">
        <f>IFERROR(INDEX(Puntos_Jornada!$B$2:$M$25,MATCH(Plantillas!C216,Puntos_Jornada!$A$2:$A$25,0),MATCH($A216,Puntos_Jornada!$B$1:$M$1,0)),0)</f>
        <v>0</v>
      </c>
      <c r="D216" s="6">
        <f>IFERROR(INDEX(Puntos_Jornada!$B$2:$M$25,MATCH(Plantillas!D216,Puntos_Jornada!$A$2:$A$25,0),MATCH($A216,Puntos_Jornada!$B$1:$M$1,0)),0)</f>
        <v>0</v>
      </c>
      <c r="E216" s="6">
        <f>IFERROR(INDEX(Puntos_Jornada!$B$2:$M$25,MATCH(Plantillas!E216,Puntos_Jornada!$A$2:$A$25,0),MATCH($A216,Puntos_Jornada!$B$1:$M$1,0)),0)</f>
        <v>0</v>
      </c>
      <c r="F216" s="6">
        <f>IFERROR(INDEX(Puntos_Jornada!$B$2:$M$25,MATCH(Plantillas!F216,Puntos_Jornada!$A$2:$A$25,0),MATCH($A216,Puntos_Jornada!$B$1:$M$1,0)),0)</f>
        <v>0</v>
      </c>
      <c r="G216" s="6">
        <f>IFERROR(INDEX(Puntos_Jornada!$B$2:$M$25,MATCH(Plantillas!G216,Puntos_Jornada!$A$2:$A$25,0),MATCH($A216,Puntos_Jornada!$B$1:$M$1,0)),0)</f>
        <v>0</v>
      </c>
      <c r="H216" s="6">
        <f>IFERROR(INDEX(Puntos_Jornada!$B$2:$M$25,MATCH(Plantillas!H216,Puntos_Jornada!$A$2:$A$25,0),MATCH($A216,Puntos_Jornada!$B$1:$M$1,0)),0)</f>
        <v>0</v>
      </c>
      <c r="I216" s="15">
        <f t="shared" si="3"/>
        <v>0</v>
      </c>
    </row>
    <row r="217" spans="1:9" x14ac:dyDescent="0.25">
      <c r="A217" s="6">
        <f>Plantillas!A217</f>
        <v>9</v>
      </c>
      <c r="B217" s="13" t="str">
        <f>Plantillas!B217</f>
        <v>Alumno 24</v>
      </c>
      <c r="C217" s="6">
        <f>IFERROR(INDEX(Puntos_Jornada!$B$2:$M$25,MATCH(Plantillas!C217,Puntos_Jornada!$A$2:$A$25,0),MATCH($A217,Puntos_Jornada!$B$1:$M$1,0)),0)</f>
        <v>0</v>
      </c>
      <c r="D217" s="6">
        <f>IFERROR(INDEX(Puntos_Jornada!$B$2:$M$25,MATCH(Plantillas!D217,Puntos_Jornada!$A$2:$A$25,0),MATCH($A217,Puntos_Jornada!$B$1:$M$1,0)),0)</f>
        <v>0</v>
      </c>
      <c r="E217" s="6">
        <f>IFERROR(INDEX(Puntos_Jornada!$B$2:$M$25,MATCH(Plantillas!E217,Puntos_Jornada!$A$2:$A$25,0),MATCH($A217,Puntos_Jornada!$B$1:$M$1,0)),0)</f>
        <v>0</v>
      </c>
      <c r="F217" s="6">
        <f>IFERROR(INDEX(Puntos_Jornada!$B$2:$M$25,MATCH(Plantillas!F217,Puntos_Jornada!$A$2:$A$25,0),MATCH($A217,Puntos_Jornada!$B$1:$M$1,0)),0)</f>
        <v>0</v>
      </c>
      <c r="G217" s="6">
        <f>IFERROR(INDEX(Puntos_Jornada!$B$2:$M$25,MATCH(Plantillas!G217,Puntos_Jornada!$A$2:$A$25,0),MATCH($A217,Puntos_Jornada!$B$1:$M$1,0)),0)</f>
        <v>0</v>
      </c>
      <c r="H217" s="6">
        <f>IFERROR(INDEX(Puntos_Jornada!$B$2:$M$25,MATCH(Plantillas!H217,Puntos_Jornada!$A$2:$A$25,0),MATCH($A217,Puntos_Jornada!$B$1:$M$1,0)),0)</f>
        <v>0</v>
      </c>
      <c r="I217" s="15">
        <f t="shared" si="3"/>
        <v>0</v>
      </c>
    </row>
    <row r="218" spans="1:9" x14ac:dyDescent="0.25">
      <c r="A218" s="6">
        <f>Plantillas!A218</f>
        <v>10</v>
      </c>
      <c r="B218" s="13" t="str">
        <f>Plantillas!B218</f>
        <v>Alumno 1</v>
      </c>
      <c r="C218" s="6">
        <f>IFERROR(INDEX(Puntos_Jornada!$B$2:$M$25,MATCH(Plantillas!C218,Puntos_Jornada!$A$2:$A$25,0),MATCH($A218,Puntos_Jornada!$B$1:$M$1,0)),0)</f>
        <v>0</v>
      </c>
      <c r="D218" s="6">
        <f>IFERROR(INDEX(Puntos_Jornada!$B$2:$M$25,MATCH(Plantillas!D218,Puntos_Jornada!$A$2:$A$25,0),MATCH($A218,Puntos_Jornada!$B$1:$M$1,0)),0)</f>
        <v>0</v>
      </c>
      <c r="E218" s="6">
        <f>IFERROR(INDEX(Puntos_Jornada!$B$2:$M$25,MATCH(Plantillas!E218,Puntos_Jornada!$A$2:$A$25,0),MATCH($A218,Puntos_Jornada!$B$1:$M$1,0)),0)</f>
        <v>0</v>
      </c>
      <c r="F218" s="6">
        <f>IFERROR(INDEX(Puntos_Jornada!$B$2:$M$25,MATCH(Plantillas!F218,Puntos_Jornada!$A$2:$A$25,0),MATCH($A218,Puntos_Jornada!$B$1:$M$1,0)),0)</f>
        <v>0</v>
      </c>
      <c r="G218" s="6">
        <f>IFERROR(INDEX(Puntos_Jornada!$B$2:$M$25,MATCH(Plantillas!G218,Puntos_Jornada!$A$2:$A$25,0),MATCH($A218,Puntos_Jornada!$B$1:$M$1,0)),0)</f>
        <v>0</v>
      </c>
      <c r="H218" s="6">
        <f>IFERROR(INDEX(Puntos_Jornada!$B$2:$M$25,MATCH(Plantillas!H218,Puntos_Jornada!$A$2:$A$25,0),MATCH($A218,Puntos_Jornada!$B$1:$M$1,0)),0)</f>
        <v>0</v>
      </c>
      <c r="I218" s="15">
        <f t="shared" si="3"/>
        <v>0</v>
      </c>
    </row>
    <row r="219" spans="1:9" x14ac:dyDescent="0.25">
      <c r="A219" s="6">
        <f>Plantillas!A219</f>
        <v>10</v>
      </c>
      <c r="B219" s="13" t="str">
        <f>Plantillas!B219</f>
        <v>Alumno 2</v>
      </c>
      <c r="C219" s="6">
        <f>IFERROR(INDEX(Puntos_Jornada!$B$2:$M$25,MATCH(Plantillas!C219,Puntos_Jornada!$A$2:$A$25,0),MATCH($A219,Puntos_Jornada!$B$1:$M$1,0)),0)</f>
        <v>0</v>
      </c>
      <c r="D219" s="6">
        <f>IFERROR(INDEX(Puntos_Jornada!$B$2:$M$25,MATCH(Plantillas!D219,Puntos_Jornada!$A$2:$A$25,0),MATCH($A219,Puntos_Jornada!$B$1:$M$1,0)),0)</f>
        <v>0</v>
      </c>
      <c r="E219" s="6">
        <f>IFERROR(INDEX(Puntos_Jornada!$B$2:$M$25,MATCH(Plantillas!E219,Puntos_Jornada!$A$2:$A$25,0),MATCH($A219,Puntos_Jornada!$B$1:$M$1,0)),0)</f>
        <v>0</v>
      </c>
      <c r="F219" s="6">
        <f>IFERROR(INDEX(Puntos_Jornada!$B$2:$M$25,MATCH(Plantillas!F219,Puntos_Jornada!$A$2:$A$25,0),MATCH($A219,Puntos_Jornada!$B$1:$M$1,0)),0)</f>
        <v>0</v>
      </c>
      <c r="G219" s="6">
        <f>IFERROR(INDEX(Puntos_Jornada!$B$2:$M$25,MATCH(Plantillas!G219,Puntos_Jornada!$A$2:$A$25,0),MATCH($A219,Puntos_Jornada!$B$1:$M$1,0)),0)</f>
        <v>0</v>
      </c>
      <c r="H219" s="6">
        <f>IFERROR(INDEX(Puntos_Jornada!$B$2:$M$25,MATCH(Plantillas!H219,Puntos_Jornada!$A$2:$A$25,0),MATCH($A219,Puntos_Jornada!$B$1:$M$1,0)),0)</f>
        <v>0</v>
      </c>
      <c r="I219" s="15">
        <f t="shared" si="3"/>
        <v>0</v>
      </c>
    </row>
    <row r="220" spans="1:9" x14ac:dyDescent="0.25">
      <c r="A220" s="6">
        <f>Plantillas!A220</f>
        <v>10</v>
      </c>
      <c r="B220" s="13" t="str">
        <f>Plantillas!B220</f>
        <v>Alumno 3</v>
      </c>
      <c r="C220" s="6">
        <f>IFERROR(INDEX(Puntos_Jornada!$B$2:$M$25,MATCH(Plantillas!C220,Puntos_Jornada!$A$2:$A$25,0),MATCH($A220,Puntos_Jornada!$B$1:$M$1,0)),0)</f>
        <v>0</v>
      </c>
      <c r="D220" s="6">
        <f>IFERROR(INDEX(Puntos_Jornada!$B$2:$M$25,MATCH(Plantillas!D220,Puntos_Jornada!$A$2:$A$25,0),MATCH($A220,Puntos_Jornada!$B$1:$M$1,0)),0)</f>
        <v>0</v>
      </c>
      <c r="E220" s="6">
        <f>IFERROR(INDEX(Puntos_Jornada!$B$2:$M$25,MATCH(Plantillas!E220,Puntos_Jornada!$A$2:$A$25,0),MATCH($A220,Puntos_Jornada!$B$1:$M$1,0)),0)</f>
        <v>0</v>
      </c>
      <c r="F220" s="6">
        <f>IFERROR(INDEX(Puntos_Jornada!$B$2:$M$25,MATCH(Plantillas!F220,Puntos_Jornada!$A$2:$A$25,0),MATCH($A220,Puntos_Jornada!$B$1:$M$1,0)),0)</f>
        <v>0</v>
      </c>
      <c r="G220" s="6">
        <f>IFERROR(INDEX(Puntos_Jornada!$B$2:$M$25,MATCH(Plantillas!G220,Puntos_Jornada!$A$2:$A$25,0),MATCH($A220,Puntos_Jornada!$B$1:$M$1,0)),0)</f>
        <v>0</v>
      </c>
      <c r="H220" s="6">
        <f>IFERROR(INDEX(Puntos_Jornada!$B$2:$M$25,MATCH(Plantillas!H220,Puntos_Jornada!$A$2:$A$25,0),MATCH($A220,Puntos_Jornada!$B$1:$M$1,0)),0)</f>
        <v>0</v>
      </c>
      <c r="I220" s="15">
        <f t="shared" si="3"/>
        <v>0</v>
      </c>
    </row>
    <row r="221" spans="1:9" x14ac:dyDescent="0.25">
      <c r="A221" s="6">
        <f>Plantillas!A221</f>
        <v>10</v>
      </c>
      <c r="B221" s="13" t="str">
        <f>Plantillas!B221</f>
        <v>Alumno 4</v>
      </c>
      <c r="C221" s="6">
        <f>IFERROR(INDEX(Puntos_Jornada!$B$2:$M$25,MATCH(Plantillas!C221,Puntos_Jornada!$A$2:$A$25,0),MATCH($A221,Puntos_Jornada!$B$1:$M$1,0)),0)</f>
        <v>0</v>
      </c>
      <c r="D221" s="6">
        <f>IFERROR(INDEX(Puntos_Jornada!$B$2:$M$25,MATCH(Plantillas!D221,Puntos_Jornada!$A$2:$A$25,0),MATCH($A221,Puntos_Jornada!$B$1:$M$1,0)),0)</f>
        <v>0</v>
      </c>
      <c r="E221" s="6">
        <f>IFERROR(INDEX(Puntos_Jornada!$B$2:$M$25,MATCH(Plantillas!E221,Puntos_Jornada!$A$2:$A$25,0),MATCH($A221,Puntos_Jornada!$B$1:$M$1,0)),0)</f>
        <v>0</v>
      </c>
      <c r="F221" s="6">
        <f>IFERROR(INDEX(Puntos_Jornada!$B$2:$M$25,MATCH(Plantillas!F221,Puntos_Jornada!$A$2:$A$25,0),MATCH($A221,Puntos_Jornada!$B$1:$M$1,0)),0)</f>
        <v>0</v>
      </c>
      <c r="G221" s="6">
        <f>IFERROR(INDEX(Puntos_Jornada!$B$2:$M$25,MATCH(Plantillas!G221,Puntos_Jornada!$A$2:$A$25,0),MATCH($A221,Puntos_Jornada!$B$1:$M$1,0)),0)</f>
        <v>0</v>
      </c>
      <c r="H221" s="6">
        <f>IFERROR(INDEX(Puntos_Jornada!$B$2:$M$25,MATCH(Plantillas!H221,Puntos_Jornada!$A$2:$A$25,0),MATCH($A221,Puntos_Jornada!$B$1:$M$1,0)),0)</f>
        <v>0</v>
      </c>
      <c r="I221" s="15">
        <f t="shared" si="3"/>
        <v>0</v>
      </c>
    </row>
    <row r="222" spans="1:9" x14ac:dyDescent="0.25">
      <c r="A222" s="6">
        <f>Plantillas!A222</f>
        <v>10</v>
      </c>
      <c r="B222" s="13" t="str">
        <f>Plantillas!B222</f>
        <v>Alumno 5</v>
      </c>
      <c r="C222" s="6">
        <f>IFERROR(INDEX(Puntos_Jornada!$B$2:$M$25,MATCH(Plantillas!C222,Puntos_Jornada!$A$2:$A$25,0),MATCH($A222,Puntos_Jornada!$B$1:$M$1,0)),0)</f>
        <v>0</v>
      </c>
      <c r="D222" s="6">
        <f>IFERROR(INDEX(Puntos_Jornada!$B$2:$M$25,MATCH(Plantillas!D222,Puntos_Jornada!$A$2:$A$25,0),MATCH($A222,Puntos_Jornada!$B$1:$M$1,0)),0)</f>
        <v>0</v>
      </c>
      <c r="E222" s="6">
        <f>IFERROR(INDEX(Puntos_Jornada!$B$2:$M$25,MATCH(Plantillas!E222,Puntos_Jornada!$A$2:$A$25,0),MATCH($A222,Puntos_Jornada!$B$1:$M$1,0)),0)</f>
        <v>0</v>
      </c>
      <c r="F222" s="6">
        <f>IFERROR(INDEX(Puntos_Jornada!$B$2:$M$25,MATCH(Plantillas!F222,Puntos_Jornada!$A$2:$A$25,0),MATCH($A222,Puntos_Jornada!$B$1:$M$1,0)),0)</f>
        <v>0</v>
      </c>
      <c r="G222" s="6">
        <f>IFERROR(INDEX(Puntos_Jornada!$B$2:$M$25,MATCH(Plantillas!G222,Puntos_Jornada!$A$2:$A$25,0),MATCH($A222,Puntos_Jornada!$B$1:$M$1,0)),0)</f>
        <v>0</v>
      </c>
      <c r="H222" s="6">
        <f>IFERROR(INDEX(Puntos_Jornada!$B$2:$M$25,MATCH(Plantillas!H222,Puntos_Jornada!$A$2:$A$25,0),MATCH($A222,Puntos_Jornada!$B$1:$M$1,0)),0)</f>
        <v>0</v>
      </c>
      <c r="I222" s="15">
        <f t="shared" si="3"/>
        <v>0</v>
      </c>
    </row>
    <row r="223" spans="1:9" x14ac:dyDescent="0.25">
      <c r="A223" s="6">
        <f>Plantillas!A223</f>
        <v>10</v>
      </c>
      <c r="B223" s="13" t="str">
        <f>Plantillas!B223</f>
        <v>Alumno 6</v>
      </c>
      <c r="C223" s="6">
        <f>IFERROR(INDEX(Puntos_Jornada!$B$2:$M$25,MATCH(Plantillas!C223,Puntos_Jornada!$A$2:$A$25,0),MATCH($A223,Puntos_Jornada!$B$1:$M$1,0)),0)</f>
        <v>0</v>
      </c>
      <c r="D223" s="6">
        <f>IFERROR(INDEX(Puntos_Jornada!$B$2:$M$25,MATCH(Plantillas!D223,Puntos_Jornada!$A$2:$A$25,0),MATCH($A223,Puntos_Jornada!$B$1:$M$1,0)),0)</f>
        <v>0</v>
      </c>
      <c r="E223" s="6">
        <f>IFERROR(INDEX(Puntos_Jornada!$B$2:$M$25,MATCH(Plantillas!E223,Puntos_Jornada!$A$2:$A$25,0),MATCH($A223,Puntos_Jornada!$B$1:$M$1,0)),0)</f>
        <v>0</v>
      </c>
      <c r="F223" s="6">
        <f>IFERROR(INDEX(Puntos_Jornada!$B$2:$M$25,MATCH(Plantillas!F223,Puntos_Jornada!$A$2:$A$25,0),MATCH($A223,Puntos_Jornada!$B$1:$M$1,0)),0)</f>
        <v>0</v>
      </c>
      <c r="G223" s="6">
        <f>IFERROR(INDEX(Puntos_Jornada!$B$2:$M$25,MATCH(Plantillas!G223,Puntos_Jornada!$A$2:$A$25,0),MATCH($A223,Puntos_Jornada!$B$1:$M$1,0)),0)</f>
        <v>0</v>
      </c>
      <c r="H223" s="6">
        <f>IFERROR(INDEX(Puntos_Jornada!$B$2:$M$25,MATCH(Plantillas!H223,Puntos_Jornada!$A$2:$A$25,0),MATCH($A223,Puntos_Jornada!$B$1:$M$1,0)),0)</f>
        <v>0</v>
      </c>
      <c r="I223" s="15">
        <f t="shared" si="3"/>
        <v>0</v>
      </c>
    </row>
    <row r="224" spans="1:9" x14ac:dyDescent="0.25">
      <c r="A224" s="6">
        <f>Plantillas!A224</f>
        <v>10</v>
      </c>
      <c r="B224" s="13" t="str">
        <f>Plantillas!B224</f>
        <v>Alumno 7</v>
      </c>
      <c r="C224" s="6">
        <f>IFERROR(INDEX(Puntos_Jornada!$B$2:$M$25,MATCH(Plantillas!C224,Puntos_Jornada!$A$2:$A$25,0),MATCH($A224,Puntos_Jornada!$B$1:$M$1,0)),0)</f>
        <v>0</v>
      </c>
      <c r="D224" s="6">
        <f>IFERROR(INDEX(Puntos_Jornada!$B$2:$M$25,MATCH(Plantillas!D224,Puntos_Jornada!$A$2:$A$25,0),MATCH($A224,Puntos_Jornada!$B$1:$M$1,0)),0)</f>
        <v>0</v>
      </c>
      <c r="E224" s="6">
        <f>IFERROR(INDEX(Puntos_Jornada!$B$2:$M$25,MATCH(Plantillas!E224,Puntos_Jornada!$A$2:$A$25,0),MATCH($A224,Puntos_Jornada!$B$1:$M$1,0)),0)</f>
        <v>0</v>
      </c>
      <c r="F224" s="6">
        <f>IFERROR(INDEX(Puntos_Jornada!$B$2:$M$25,MATCH(Plantillas!F224,Puntos_Jornada!$A$2:$A$25,0),MATCH($A224,Puntos_Jornada!$B$1:$M$1,0)),0)</f>
        <v>0</v>
      </c>
      <c r="G224" s="6">
        <f>IFERROR(INDEX(Puntos_Jornada!$B$2:$M$25,MATCH(Plantillas!G224,Puntos_Jornada!$A$2:$A$25,0),MATCH($A224,Puntos_Jornada!$B$1:$M$1,0)),0)</f>
        <v>0</v>
      </c>
      <c r="H224" s="6">
        <f>IFERROR(INDEX(Puntos_Jornada!$B$2:$M$25,MATCH(Plantillas!H224,Puntos_Jornada!$A$2:$A$25,0),MATCH($A224,Puntos_Jornada!$B$1:$M$1,0)),0)</f>
        <v>0</v>
      </c>
      <c r="I224" s="15">
        <f t="shared" si="3"/>
        <v>0</v>
      </c>
    </row>
    <row r="225" spans="1:9" x14ac:dyDescent="0.25">
      <c r="A225" s="6">
        <f>Plantillas!A225</f>
        <v>10</v>
      </c>
      <c r="B225" s="13" t="str">
        <f>Plantillas!B225</f>
        <v>Alumno 8</v>
      </c>
      <c r="C225" s="6">
        <f>IFERROR(INDEX(Puntos_Jornada!$B$2:$M$25,MATCH(Plantillas!C225,Puntos_Jornada!$A$2:$A$25,0),MATCH($A225,Puntos_Jornada!$B$1:$M$1,0)),0)</f>
        <v>0</v>
      </c>
      <c r="D225" s="6">
        <f>IFERROR(INDEX(Puntos_Jornada!$B$2:$M$25,MATCH(Plantillas!D225,Puntos_Jornada!$A$2:$A$25,0),MATCH($A225,Puntos_Jornada!$B$1:$M$1,0)),0)</f>
        <v>0</v>
      </c>
      <c r="E225" s="6">
        <f>IFERROR(INDEX(Puntos_Jornada!$B$2:$M$25,MATCH(Plantillas!E225,Puntos_Jornada!$A$2:$A$25,0),MATCH($A225,Puntos_Jornada!$B$1:$M$1,0)),0)</f>
        <v>0</v>
      </c>
      <c r="F225" s="6">
        <f>IFERROR(INDEX(Puntos_Jornada!$B$2:$M$25,MATCH(Plantillas!F225,Puntos_Jornada!$A$2:$A$25,0),MATCH($A225,Puntos_Jornada!$B$1:$M$1,0)),0)</f>
        <v>0</v>
      </c>
      <c r="G225" s="6">
        <f>IFERROR(INDEX(Puntos_Jornada!$B$2:$M$25,MATCH(Plantillas!G225,Puntos_Jornada!$A$2:$A$25,0),MATCH($A225,Puntos_Jornada!$B$1:$M$1,0)),0)</f>
        <v>0</v>
      </c>
      <c r="H225" s="6">
        <f>IFERROR(INDEX(Puntos_Jornada!$B$2:$M$25,MATCH(Plantillas!H225,Puntos_Jornada!$A$2:$A$25,0),MATCH($A225,Puntos_Jornada!$B$1:$M$1,0)),0)</f>
        <v>0</v>
      </c>
      <c r="I225" s="15">
        <f t="shared" si="3"/>
        <v>0</v>
      </c>
    </row>
    <row r="226" spans="1:9" x14ac:dyDescent="0.25">
      <c r="A226" s="6">
        <f>Plantillas!A226</f>
        <v>10</v>
      </c>
      <c r="B226" s="13" t="str">
        <f>Plantillas!B226</f>
        <v>Alumno 9</v>
      </c>
      <c r="C226" s="6">
        <f>IFERROR(INDEX(Puntos_Jornada!$B$2:$M$25,MATCH(Plantillas!C226,Puntos_Jornada!$A$2:$A$25,0),MATCH($A226,Puntos_Jornada!$B$1:$M$1,0)),0)</f>
        <v>0</v>
      </c>
      <c r="D226" s="6">
        <f>IFERROR(INDEX(Puntos_Jornada!$B$2:$M$25,MATCH(Plantillas!D226,Puntos_Jornada!$A$2:$A$25,0),MATCH($A226,Puntos_Jornada!$B$1:$M$1,0)),0)</f>
        <v>0</v>
      </c>
      <c r="E226" s="6">
        <f>IFERROR(INDEX(Puntos_Jornada!$B$2:$M$25,MATCH(Plantillas!E226,Puntos_Jornada!$A$2:$A$25,0),MATCH($A226,Puntos_Jornada!$B$1:$M$1,0)),0)</f>
        <v>0</v>
      </c>
      <c r="F226" s="6">
        <f>IFERROR(INDEX(Puntos_Jornada!$B$2:$M$25,MATCH(Plantillas!F226,Puntos_Jornada!$A$2:$A$25,0),MATCH($A226,Puntos_Jornada!$B$1:$M$1,0)),0)</f>
        <v>0</v>
      </c>
      <c r="G226" s="6">
        <f>IFERROR(INDEX(Puntos_Jornada!$B$2:$M$25,MATCH(Plantillas!G226,Puntos_Jornada!$A$2:$A$25,0),MATCH($A226,Puntos_Jornada!$B$1:$M$1,0)),0)</f>
        <v>0</v>
      </c>
      <c r="H226" s="6">
        <f>IFERROR(INDEX(Puntos_Jornada!$B$2:$M$25,MATCH(Plantillas!H226,Puntos_Jornada!$A$2:$A$25,0),MATCH($A226,Puntos_Jornada!$B$1:$M$1,0)),0)</f>
        <v>0</v>
      </c>
      <c r="I226" s="15">
        <f t="shared" si="3"/>
        <v>0</v>
      </c>
    </row>
    <row r="227" spans="1:9" x14ac:dyDescent="0.25">
      <c r="A227" s="6">
        <f>Plantillas!A227</f>
        <v>10</v>
      </c>
      <c r="B227" s="13" t="str">
        <f>Plantillas!B227</f>
        <v>Alumno 10</v>
      </c>
      <c r="C227" s="6">
        <f>IFERROR(INDEX(Puntos_Jornada!$B$2:$M$25,MATCH(Plantillas!C227,Puntos_Jornada!$A$2:$A$25,0),MATCH($A227,Puntos_Jornada!$B$1:$M$1,0)),0)</f>
        <v>0</v>
      </c>
      <c r="D227" s="6">
        <f>IFERROR(INDEX(Puntos_Jornada!$B$2:$M$25,MATCH(Plantillas!D227,Puntos_Jornada!$A$2:$A$25,0),MATCH($A227,Puntos_Jornada!$B$1:$M$1,0)),0)</f>
        <v>0</v>
      </c>
      <c r="E227" s="6">
        <f>IFERROR(INDEX(Puntos_Jornada!$B$2:$M$25,MATCH(Plantillas!E227,Puntos_Jornada!$A$2:$A$25,0),MATCH($A227,Puntos_Jornada!$B$1:$M$1,0)),0)</f>
        <v>0</v>
      </c>
      <c r="F227" s="6">
        <f>IFERROR(INDEX(Puntos_Jornada!$B$2:$M$25,MATCH(Plantillas!F227,Puntos_Jornada!$A$2:$A$25,0),MATCH($A227,Puntos_Jornada!$B$1:$M$1,0)),0)</f>
        <v>0</v>
      </c>
      <c r="G227" s="6">
        <f>IFERROR(INDEX(Puntos_Jornada!$B$2:$M$25,MATCH(Plantillas!G227,Puntos_Jornada!$A$2:$A$25,0),MATCH($A227,Puntos_Jornada!$B$1:$M$1,0)),0)</f>
        <v>0</v>
      </c>
      <c r="H227" s="6">
        <f>IFERROR(INDEX(Puntos_Jornada!$B$2:$M$25,MATCH(Plantillas!H227,Puntos_Jornada!$A$2:$A$25,0),MATCH($A227,Puntos_Jornada!$B$1:$M$1,0)),0)</f>
        <v>0</v>
      </c>
      <c r="I227" s="15">
        <f t="shared" si="3"/>
        <v>0</v>
      </c>
    </row>
    <row r="228" spans="1:9" x14ac:dyDescent="0.25">
      <c r="A228" s="6">
        <f>Plantillas!A228</f>
        <v>10</v>
      </c>
      <c r="B228" s="13" t="str">
        <f>Plantillas!B228</f>
        <v>Alumno 11</v>
      </c>
      <c r="C228" s="6">
        <f>IFERROR(INDEX(Puntos_Jornada!$B$2:$M$25,MATCH(Plantillas!C228,Puntos_Jornada!$A$2:$A$25,0),MATCH($A228,Puntos_Jornada!$B$1:$M$1,0)),0)</f>
        <v>0</v>
      </c>
      <c r="D228" s="6">
        <f>IFERROR(INDEX(Puntos_Jornada!$B$2:$M$25,MATCH(Plantillas!D228,Puntos_Jornada!$A$2:$A$25,0),MATCH($A228,Puntos_Jornada!$B$1:$M$1,0)),0)</f>
        <v>0</v>
      </c>
      <c r="E228" s="6">
        <f>IFERROR(INDEX(Puntos_Jornada!$B$2:$M$25,MATCH(Plantillas!E228,Puntos_Jornada!$A$2:$A$25,0),MATCH($A228,Puntos_Jornada!$B$1:$M$1,0)),0)</f>
        <v>0</v>
      </c>
      <c r="F228" s="6">
        <f>IFERROR(INDEX(Puntos_Jornada!$B$2:$M$25,MATCH(Plantillas!F228,Puntos_Jornada!$A$2:$A$25,0),MATCH($A228,Puntos_Jornada!$B$1:$M$1,0)),0)</f>
        <v>0</v>
      </c>
      <c r="G228" s="6">
        <f>IFERROR(INDEX(Puntos_Jornada!$B$2:$M$25,MATCH(Plantillas!G228,Puntos_Jornada!$A$2:$A$25,0),MATCH($A228,Puntos_Jornada!$B$1:$M$1,0)),0)</f>
        <v>0</v>
      </c>
      <c r="H228" s="6">
        <f>IFERROR(INDEX(Puntos_Jornada!$B$2:$M$25,MATCH(Plantillas!H228,Puntos_Jornada!$A$2:$A$25,0),MATCH($A228,Puntos_Jornada!$B$1:$M$1,0)),0)</f>
        <v>0</v>
      </c>
      <c r="I228" s="15">
        <f t="shared" si="3"/>
        <v>0</v>
      </c>
    </row>
    <row r="229" spans="1:9" x14ac:dyDescent="0.25">
      <c r="A229" s="6">
        <f>Plantillas!A229</f>
        <v>10</v>
      </c>
      <c r="B229" s="13" t="str">
        <f>Plantillas!B229</f>
        <v>Alumno 12</v>
      </c>
      <c r="C229" s="6">
        <f>IFERROR(INDEX(Puntos_Jornada!$B$2:$M$25,MATCH(Plantillas!C229,Puntos_Jornada!$A$2:$A$25,0),MATCH($A229,Puntos_Jornada!$B$1:$M$1,0)),0)</f>
        <v>0</v>
      </c>
      <c r="D229" s="6">
        <f>IFERROR(INDEX(Puntos_Jornada!$B$2:$M$25,MATCH(Plantillas!D229,Puntos_Jornada!$A$2:$A$25,0),MATCH($A229,Puntos_Jornada!$B$1:$M$1,0)),0)</f>
        <v>0</v>
      </c>
      <c r="E229" s="6">
        <f>IFERROR(INDEX(Puntos_Jornada!$B$2:$M$25,MATCH(Plantillas!E229,Puntos_Jornada!$A$2:$A$25,0),MATCH($A229,Puntos_Jornada!$B$1:$M$1,0)),0)</f>
        <v>0</v>
      </c>
      <c r="F229" s="6">
        <f>IFERROR(INDEX(Puntos_Jornada!$B$2:$M$25,MATCH(Plantillas!F229,Puntos_Jornada!$A$2:$A$25,0),MATCH($A229,Puntos_Jornada!$B$1:$M$1,0)),0)</f>
        <v>0</v>
      </c>
      <c r="G229" s="6">
        <f>IFERROR(INDEX(Puntos_Jornada!$B$2:$M$25,MATCH(Plantillas!G229,Puntos_Jornada!$A$2:$A$25,0),MATCH($A229,Puntos_Jornada!$B$1:$M$1,0)),0)</f>
        <v>0</v>
      </c>
      <c r="H229" s="6">
        <f>IFERROR(INDEX(Puntos_Jornada!$B$2:$M$25,MATCH(Plantillas!H229,Puntos_Jornada!$A$2:$A$25,0),MATCH($A229,Puntos_Jornada!$B$1:$M$1,0)),0)</f>
        <v>0</v>
      </c>
      <c r="I229" s="15">
        <f t="shared" si="3"/>
        <v>0</v>
      </c>
    </row>
    <row r="230" spans="1:9" x14ac:dyDescent="0.25">
      <c r="A230" s="6">
        <f>Plantillas!A230</f>
        <v>10</v>
      </c>
      <c r="B230" s="13" t="str">
        <f>Plantillas!B230</f>
        <v>Alumno 13</v>
      </c>
      <c r="C230" s="6">
        <f>IFERROR(INDEX(Puntos_Jornada!$B$2:$M$25,MATCH(Plantillas!C230,Puntos_Jornada!$A$2:$A$25,0),MATCH($A230,Puntos_Jornada!$B$1:$M$1,0)),0)</f>
        <v>0</v>
      </c>
      <c r="D230" s="6">
        <f>IFERROR(INDEX(Puntos_Jornada!$B$2:$M$25,MATCH(Plantillas!D230,Puntos_Jornada!$A$2:$A$25,0),MATCH($A230,Puntos_Jornada!$B$1:$M$1,0)),0)</f>
        <v>0</v>
      </c>
      <c r="E230" s="6">
        <f>IFERROR(INDEX(Puntos_Jornada!$B$2:$M$25,MATCH(Plantillas!E230,Puntos_Jornada!$A$2:$A$25,0),MATCH($A230,Puntos_Jornada!$B$1:$M$1,0)),0)</f>
        <v>0</v>
      </c>
      <c r="F230" s="6">
        <f>IFERROR(INDEX(Puntos_Jornada!$B$2:$M$25,MATCH(Plantillas!F230,Puntos_Jornada!$A$2:$A$25,0),MATCH($A230,Puntos_Jornada!$B$1:$M$1,0)),0)</f>
        <v>0</v>
      </c>
      <c r="G230" s="6">
        <f>IFERROR(INDEX(Puntos_Jornada!$B$2:$M$25,MATCH(Plantillas!G230,Puntos_Jornada!$A$2:$A$25,0),MATCH($A230,Puntos_Jornada!$B$1:$M$1,0)),0)</f>
        <v>0</v>
      </c>
      <c r="H230" s="6">
        <f>IFERROR(INDEX(Puntos_Jornada!$B$2:$M$25,MATCH(Plantillas!H230,Puntos_Jornada!$A$2:$A$25,0),MATCH($A230,Puntos_Jornada!$B$1:$M$1,0)),0)</f>
        <v>0</v>
      </c>
      <c r="I230" s="15">
        <f t="shared" si="3"/>
        <v>0</v>
      </c>
    </row>
    <row r="231" spans="1:9" x14ac:dyDescent="0.25">
      <c r="A231" s="6">
        <f>Plantillas!A231</f>
        <v>10</v>
      </c>
      <c r="B231" s="13" t="str">
        <f>Plantillas!B231</f>
        <v>Alumno 14</v>
      </c>
      <c r="C231" s="6">
        <f>IFERROR(INDEX(Puntos_Jornada!$B$2:$M$25,MATCH(Plantillas!C231,Puntos_Jornada!$A$2:$A$25,0),MATCH($A231,Puntos_Jornada!$B$1:$M$1,0)),0)</f>
        <v>0</v>
      </c>
      <c r="D231" s="6">
        <f>IFERROR(INDEX(Puntos_Jornada!$B$2:$M$25,MATCH(Plantillas!D231,Puntos_Jornada!$A$2:$A$25,0),MATCH($A231,Puntos_Jornada!$B$1:$M$1,0)),0)</f>
        <v>0</v>
      </c>
      <c r="E231" s="6">
        <f>IFERROR(INDEX(Puntos_Jornada!$B$2:$M$25,MATCH(Plantillas!E231,Puntos_Jornada!$A$2:$A$25,0),MATCH($A231,Puntos_Jornada!$B$1:$M$1,0)),0)</f>
        <v>0</v>
      </c>
      <c r="F231" s="6">
        <f>IFERROR(INDEX(Puntos_Jornada!$B$2:$M$25,MATCH(Plantillas!F231,Puntos_Jornada!$A$2:$A$25,0),MATCH($A231,Puntos_Jornada!$B$1:$M$1,0)),0)</f>
        <v>0</v>
      </c>
      <c r="G231" s="6">
        <f>IFERROR(INDEX(Puntos_Jornada!$B$2:$M$25,MATCH(Plantillas!G231,Puntos_Jornada!$A$2:$A$25,0),MATCH($A231,Puntos_Jornada!$B$1:$M$1,0)),0)</f>
        <v>0</v>
      </c>
      <c r="H231" s="6">
        <f>IFERROR(INDEX(Puntos_Jornada!$B$2:$M$25,MATCH(Plantillas!H231,Puntos_Jornada!$A$2:$A$25,0),MATCH($A231,Puntos_Jornada!$B$1:$M$1,0)),0)</f>
        <v>0</v>
      </c>
      <c r="I231" s="15">
        <f t="shared" si="3"/>
        <v>0</v>
      </c>
    </row>
    <row r="232" spans="1:9" x14ac:dyDescent="0.25">
      <c r="A232" s="6">
        <f>Plantillas!A232</f>
        <v>10</v>
      </c>
      <c r="B232" s="13" t="str">
        <f>Plantillas!B232</f>
        <v>Alumno 15</v>
      </c>
      <c r="C232" s="6">
        <f>IFERROR(INDEX(Puntos_Jornada!$B$2:$M$25,MATCH(Plantillas!C232,Puntos_Jornada!$A$2:$A$25,0),MATCH($A232,Puntos_Jornada!$B$1:$M$1,0)),0)</f>
        <v>0</v>
      </c>
      <c r="D232" s="6">
        <f>IFERROR(INDEX(Puntos_Jornada!$B$2:$M$25,MATCH(Plantillas!D232,Puntos_Jornada!$A$2:$A$25,0),MATCH($A232,Puntos_Jornada!$B$1:$M$1,0)),0)</f>
        <v>0</v>
      </c>
      <c r="E232" s="6">
        <f>IFERROR(INDEX(Puntos_Jornada!$B$2:$M$25,MATCH(Plantillas!E232,Puntos_Jornada!$A$2:$A$25,0),MATCH($A232,Puntos_Jornada!$B$1:$M$1,0)),0)</f>
        <v>0</v>
      </c>
      <c r="F232" s="6">
        <f>IFERROR(INDEX(Puntos_Jornada!$B$2:$M$25,MATCH(Plantillas!F232,Puntos_Jornada!$A$2:$A$25,0),MATCH($A232,Puntos_Jornada!$B$1:$M$1,0)),0)</f>
        <v>0</v>
      </c>
      <c r="G232" s="6">
        <f>IFERROR(INDEX(Puntos_Jornada!$B$2:$M$25,MATCH(Plantillas!G232,Puntos_Jornada!$A$2:$A$25,0),MATCH($A232,Puntos_Jornada!$B$1:$M$1,0)),0)</f>
        <v>0</v>
      </c>
      <c r="H232" s="6">
        <f>IFERROR(INDEX(Puntos_Jornada!$B$2:$M$25,MATCH(Plantillas!H232,Puntos_Jornada!$A$2:$A$25,0),MATCH($A232,Puntos_Jornada!$B$1:$M$1,0)),0)</f>
        <v>0</v>
      </c>
      <c r="I232" s="15">
        <f t="shared" si="3"/>
        <v>0</v>
      </c>
    </row>
    <row r="233" spans="1:9" x14ac:dyDescent="0.25">
      <c r="A233" s="6">
        <f>Plantillas!A233</f>
        <v>10</v>
      </c>
      <c r="B233" s="13" t="str">
        <f>Plantillas!B233</f>
        <v>Alumno 16</v>
      </c>
      <c r="C233" s="6">
        <f>IFERROR(INDEX(Puntos_Jornada!$B$2:$M$25,MATCH(Plantillas!C233,Puntos_Jornada!$A$2:$A$25,0),MATCH($A233,Puntos_Jornada!$B$1:$M$1,0)),0)</f>
        <v>0</v>
      </c>
      <c r="D233" s="6">
        <f>IFERROR(INDEX(Puntos_Jornada!$B$2:$M$25,MATCH(Plantillas!D233,Puntos_Jornada!$A$2:$A$25,0),MATCH($A233,Puntos_Jornada!$B$1:$M$1,0)),0)</f>
        <v>0</v>
      </c>
      <c r="E233" s="6">
        <f>IFERROR(INDEX(Puntos_Jornada!$B$2:$M$25,MATCH(Plantillas!E233,Puntos_Jornada!$A$2:$A$25,0),MATCH($A233,Puntos_Jornada!$B$1:$M$1,0)),0)</f>
        <v>0</v>
      </c>
      <c r="F233" s="6">
        <f>IFERROR(INDEX(Puntos_Jornada!$B$2:$M$25,MATCH(Plantillas!F233,Puntos_Jornada!$A$2:$A$25,0),MATCH($A233,Puntos_Jornada!$B$1:$M$1,0)),0)</f>
        <v>0</v>
      </c>
      <c r="G233" s="6">
        <f>IFERROR(INDEX(Puntos_Jornada!$B$2:$M$25,MATCH(Plantillas!G233,Puntos_Jornada!$A$2:$A$25,0),MATCH($A233,Puntos_Jornada!$B$1:$M$1,0)),0)</f>
        <v>0</v>
      </c>
      <c r="H233" s="6">
        <f>IFERROR(INDEX(Puntos_Jornada!$B$2:$M$25,MATCH(Plantillas!H233,Puntos_Jornada!$A$2:$A$25,0),MATCH($A233,Puntos_Jornada!$B$1:$M$1,0)),0)</f>
        <v>0</v>
      </c>
      <c r="I233" s="15">
        <f t="shared" si="3"/>
        <v>0</v>
      </c>
    </row>
    <row r="234" spans="1:9" x14ac:dyDescent="0.25">
      <c r="A234" s="6">
        <f>Plantillas!A234</f>
        <v>10</v>
      </c>
      <c r="B234" s="13" t="str">
        <f>Plantillas!B234</f>
        <v>Alumno 17</v>
      </c>
      <c r="C234" s="6">
        <f>IFERROR(INDEX(Puntos_Jornada!$B$2:$M$25,MATCH(Plantillas!C234,Puntos_Jornada!$A$2:$A$25,0),MATCH($A234,Puntos_Jornada!$B$1:$M$1,0)),0)</f>
        <v>0</v>
      </c>
      <c r="D234" s="6">
        <f>IFERROR(INDEX(Puntos_Jornada!$B$2:$M$25,MATCH(Plantillas!D234,Puntos_Jornada!$A$2:$A$25,0),MATCH($A234,Puntos_Jornada!$B$1:$M$1,0)),0)</f>
        <v>0</v>
      </c>
      <c r="E234" s="6">
        <f>IFERROR(INDEX(Puntos_Jornada!$B$2:$M$25,MATCH(Plantillas!E234,Puntos_Jornada!$A$2:$A$25,0),MATCH($A234,Puntos_Jornada!$B$1:$M$1,0)),0)</f>
        <v>0</v>
      </c>
      <c r="F234" s="6">
        <f>IFERROR(INDEX(Puntos_Jornada!$B$2:$M$25,MATCH(Plantillas!F234,Puntos_Jornada!$A$2:$A$25,0),MATCH($A234,Puntos_Jornada!$B$1:$M$1,0)),0)</f>
        <v>0</v>
      </c>
      <c r="G234" s="6">
        <f>IFERROR(INDEX(Puntos_Jornada!$B$2:$M$25,MATCH(Plantillas!G234,Puntos_Jornada!$A$2:$A$25,0),MATCH($A234,Puntos_Jornada!$B$1:$M$1,0)),0)</f>
        <v>0</v>
      </c>
      <c r="H234" s="6">
        <f>IFERROR(INDEX(Puntos_Jornada!$B$2:$M$25,MATCH(Plantillas!H234,Puntos_Jornada!$A$2:$A$25,0),MATCH($A234,Puntos_Jornada!$B$1:$M$1,0)),0)</f>
        <v>0</v>
      </c>
      <c r="I234" s="15">
        <f t="shared" si="3"/>
        <v>0</v>
      </c>
    </row>
    <row r="235" spans="1:9" x14ac:dyDescent="0.25">
      <c r="A235" s="6">
        <f>Plantillas!A235</f>
        <v>10</v>
      </c>
      <c r="B235" s="13" t="str">
        <f>Plantillas!B235</f>
        <v>Alumno 18</v>
      </c>
      <c r="C235" s="6">
        <f>IFERROR(INDEX(Puntos_Jornada!$B$2:$M$25,MATCH(Plantillas!C235,Puntos_Jornada!$A$2:$A$25,0),MATCH($A235,Puntos_Jornada!$B$1:$M$1,0)),0)</f>
        <v>0</v>
      </c>
      <c r="D235" s="6">
        <f>IFERROR(INDEX(Puntos_Jornada!$B$2:$M$25,MATCH(Plantillas!D235,Puntos_Jornada!$A$2:$A$25,0),MATCH($A235,Puntos_Jornada!$B$1:$M$1,0)),0)</f>
        <v>0</v>
      </c>
      <c r="E235" s="6">
        <f>IFERROR(INDEX(Puntos_Jornada!$B$2:$M$25,MATCH(Plantillas!E235,Puntos_Jornada!$A$2:$A$25,0),MATCH($A235,Puntos_Jornada!$B$1:$M$1,0)),0)</f>
        <v>0</v>
      </c>
      <c r="F235" s="6">
        <f>IFERROR(INDEX(Puntos_Jornada!$B$2:$M$25,MATCH(Plantillas!F235,Puntos_Jornada!$A$2:$A$25,0),MATCH($A235,Puntos_Jornada!$B$1:$M$1,0)),0)</f>
        <v>0</v>
      </c>
      <c r="G235" s="6">
        <f>IFERROR(INDEX(Puntos_Jornada!$B$2:$M$25,MATCH(Plantillas!G235,Puntos_Jornada!$A$2:$A$25,0),MATCH($A235,Puntos_Jornada!$B$1:$M$1,0)),0)</f>
        <v>0</v>
      </c>
      <c r="H235" s="6">
        <f>IFERROR(INDEX(Puntos_Jornada!$B$2:$M$25,MATCH(Plantillas!H235,Puntos_Jornada!$A$2:$A$25,0),MATCH($A235,Puntos_Jornada!$B$1:$M$1,0)),0)</f>
        <v>0</v>
      </c>
      <c r="I235" s="15">
        <f t="shared" si="3"/>
        <v>0</v>
      </c>
    </row>
    <row r="236" spans="1:9" x14ac:dyDescent="0.25">
      <c r="A236" s="6">
        <f>Plantillas!A236</f>
        <v>10</v>
      </c>
      <c r="B236" s="13" t="str">
        <f>Plantillas!B236</f>
        <v>Alumno 19</v>
      </c>
      <c r="C236" s="6">
        <f>IFERROR(INDEX(Puntos_Jornada!$B$2:$M$25,MATCH(Plantillas!C236,Puntos_Jornada!$A$2:$A$25,0),MATCH($A236,Puntos_Jornada!$B$1:$M$1,0)),0)</f>
        <v>0</v>
      </c>
      <c r="D236" s="6">
        <f>IFERROR(INDEX(Puntos_Jornada!$B$2:$M$25,MATCH(Plantillas!D236,Puntos_Jornada!$A$2:$A$25,0),MATCH($A236,Puntos_Jornada!$B$1:$M$1,0)),0)</f>
        <v>0</v>
      </c>
      <c r="E236" s="6">
        <f>IFERROR(INDEX(Puntos_Jornada!$B$2:$M$25,MATCH(Plantillas!E236,Puntos_Jornada!$A$2:$A$25,0),MATCH($A236,Puntos_Jornada!$B$1:$M$1,0)),0)</f>
        <v>0</v>
      </c>
      <c r="F236" s="6">
        <f>IFERROR(INDEX(Puntos_Jornada!$B$2:$M$25,MATCH(Plantillas!F236,Puntos_Jornada!$A$2:$A$25,0),MATCH($A236,Puntos_Jornada!$B$1:$M$1,0)),0)</f>
        <v>0</v>
      </c>
      <c r="G236" s="6">
        <f>IFERROR(INDEX(Puntos_Jornada!$B$2:$M$25,MATCH(Plantillas!G236,Puntos_Jornada!$A$2:$A$25,0),MATCH($A236,Puntos_Jornada!$B$1:$M$1,0)),0)</f>
        <v>0</v>
      </c>
      <c r="H236" s="6">
        <f>IFERROR(INDEX(Puntos_Jornada!$B$2:$M$25,MATCH(Plantillas!H236,Puntos_Jornada!$A$2:$A$25,0),MATCH($A236,Puntos_Jornada!$B$1:$M$1,0)),0)</f>
        <v>0</v>
      </c>
      <c r="I236" s="15">
        <f t="shared" si="3"/>
        <v>0</v>
      </c>
    </row>
    <row r="237" spans="1:9" x14ac:dyDescent="0.25">
      <c r="A237" s="6">
        <f>Plantillas!A237</f>
        <v>10</v>
      </c>
      <c r="B237" s="13" t="str">
        <f>Plantillas!B237</f>
        <v>Alumno 20</v>
      </c>
      <c r="C237" s="6">
        <f>IFERROR(INDEX(Puntos_Jornada!$B$2:$M$25,MATCH(Plantillas!C237,Puntos_Jornada!$A$2:$A$25,0),MATCH($A237,Puntos_Jornada!$B$1:$M$1,0)),0)</f>
        <v>0</v>
      </c>
      <c r="D237" s="6">
        <f>IFERROR(INDEX(Puntos_Jornada!$B$2:$M$25,MATCH(Plantillas!D237,Puntos_Jornada!$A$2:$A$25,0),MATCH($A237,Puntos_Jornada!$B$1:$M$1,0)),0)</f>
        <v>0</v>
      </c>
      <c r="E237" s="6">
        <f>IFERROR(INDEX(Puntos_Jornada!$B$2:$M$25,MATCH(Plantillas!E237,Puntos_Jornada!$A$2:$A$25,0),MATCH($A237,Puntos_Jornada!$B$1:$M$1,0)),0)</f>
        <v>0</v>
      </c>
      <c r="F237" s="6">
        <f>IFERROR(INDEX(Puntos_Jornada!$B$2:$M$25,MATCH(Plantillas!F237,Puntos_Jornada!$A$2:$A$25,0),MATCH($A237,Puntos_Jornada!$B$1:$M$1,0)),0)</f>
        <v>0</v>
      </c>
      <c r="G237" s="6">
        <f>IFERROR(INDEX(Puntos_Jornada!$B$2:$M$25,MATCH(Plantillas!G237,Puntos_Jornada!$A$2:$A$25,0),MATCH($A237,Puntos_Jornada!$B$1:$M$1,0)),0)</f>
        <v>0</v>
      </c>
      <c r="H237" s="6">
        <f>IFERROR(INDEX(Puntos_Jornada!$B$2:$M$25,MATCH(Plantillas!H237,Puntos_Jornada!$A$2:$A$25,0),MATCH($A237,Puntos_Jornada!$B$1:$M$1,0)),0)</f>
        <v>0</v>
      </c>
      <c r="I237" s="15">
        <f t="shared" si="3"/>
        <v>0</v>
      </c>
    </row>
    <row r="238" spans="1:9" x14ac:dyDescent="0.25">
      <c r="A238" s="6">
        <f>Plantillas!A238</f>
        <v>10</v>
      </c>
      <c r="B238" s="13" t="str">
        <f>Plantillas!B238</f>
        <v>Alumno 21</v>
      </c>
      <c r="C238" s="6">
        <f>IFERROR(INDEX(Puntos_Jornada!$B$2:$M$25,MATCH(Plantillas!C238,Puntos_Jornada!$A$2:$A$25,0),MATCH($A238,Puntos_Jornada!$B$1:$M$1,0)),0)</f>
        <v>0</v>
      </c>
      <c r="D238" s="6">
        <f>IFERROR(INDEX(Puntos_Jornada!$B$2:$M$25,MATCH(Plantillas!D238,Puntos_Jornada!$A$2:$A$25,0),MATCH($A238,Puntos_Jornada!$B$1:$M$1,0)),0)</f>
        <v>0</v>
      </c>
      <c r="E238" s="6">
        <f>IFERROR(INDEX(Puntos_Jornada!$B$2:$M$25,MATCH(Plantillas!E238,Puntos_Jornada!$A$2:$A$25,0),MATCH($A238,Puntos_Jornada!$B$1:$M$1,0)),0)</f>
        <v>0</v>
      </c>
      <c r="F238" s="6">
        <f>IFERROR(INDEX(Puntos_Jornada!$B$2:$M$25,MATCH(Plantillas!F238,Puntos_Jornada!$A$2:$A$25,0),MATCH($A238,Puntos_Jornada!$B$1:$M$1,0)),0)</f>
        <v>0</v>
      </c>
      <c r="G238" s="6">
        <f>IFERROR(INDEX(Puntos_Jornada!$B$2:$M$25,MATCH(Plantillas!G238,Puntos_Jornada!$A$2:$A$25,0),MATCH($A238,Puntos_Jornada!$B$1:$M$1,0)),0)</f>
        <v>0</v>
      </c>
      <c r="H238" s="6">
        <f>IFERROR(INDEX(Puntos_Jornada!$B$2:$M$25,MATCH(Plantillas!H238,Puntos_Jornada!$A$2:$A$25,0),MATCH($A238,Puntos_Jornada!$B$1:$M$1,0)),0)</f>
        <v>0</v>
      </c>
      <c r="I238" s="15">
        <f t="shared" si="3"/>
        <v>0</v>
      </c>
    </row>
    <row r="239" spans="1:9" x14ac:dyDescent="0.25">
      <c r="A239" s="6">
        <f>Plantillas!A239</f>
        <v>10</v>
      </c>
      <c r="B239" s="13" t="str">
        <f>Plantillas!B239</f>
        <v>Alumno 22</v>
      </c>
      <c r="C239" s="6">
        <f>IFERROR(INDEX(Puntos_Jornada!$B$2:$M$25,MATCH(Plantillas!C239,Puntos_Jornada!$A$2:$A$25,0),MATCH($A239,Puntos_Jornada!$B$1:$M$1,0)),0)</f>
        <v>0</v>
      </c>
      <c r="D239" s="6">
        <f>IFERROR(INDEX(Puntos_Jornada!$B$2:$M$25,MATCH(Plantillas!D239,Puntos_Jornada!$A$2:$A$25,0),MATCH($A239,Puntos_Jornada!$B$1:$M$1,0)),0)</f>
        <v>0</v>
      </c>
      <c r="E239" s="6">
        <f>IFERROR(INDEX(Puntos_Jornada!$B$2:$M$25,MATCH(Plantillas!E239,Puntos_Jornada!$A$2:$A$25,0),MATCH($A239,Puntos_Jornada!$B$1:$M$1,0)),0)</f>
        <v>0</v>
      </c>
      <c r="F239" s="6">
        <f>IFERROR(INDEX(Puntos_Jornada!$B$2:$M$25,MATCH(Plantillas!F239,Puntos_Jornada!$A$2:$A$25,0),MATCH($A239,Puntos_Jornada!$B$1:$M$1,0)),0)</f>
        <v>0</v>
      </c>
      <c r="G239" s="6">
        <f>IFERROR(INDEX(Puntos_Jornada!$B$2:$M$25,MATCH(Plantillas!G239,Puntos_Jornada!$A$2:$A$25,0),MATCH($A239,Puntos_Jornada!$B$1:$M$1,0)),0)</f>
        <v>0</v>
      </c>
      <c r="H239" s="6">
        <f>IFERROR(INDEX(Puntos_Jornada!$B$2:$M$25,MATCH(Plantillas!H239,Puntos_Jornada!$A$2:$A$25,0),MATCH($A239,Puntos_Jornada!$B$1:$M$1,0)),0)</f>
        <v>0</v>
      </c>
      <c r="I239" s="15">
        <f t="shared" si="3"/>
        <v>0</v>
      </c>
    </row>
    <row r="240" spans="1:9" x14ac:dyDescent="0.25">
      <c r="A240" s="6">
        <f>Plantillas!A240</f>
        <v>10</v>
      </c>
      <c r="B240" s="13" t="str">
        <f>Plantillas!B240</f>
        <v>Alumno 23</v>
      </c>
      <c r="C240" s="6">
        <f>IFERROR(INDEX(Puntos_Jornada!$B$2:$M$25,MATCH(Plantillas!C240,Puntos_Jornada!$A$2:$A$25,0),MATCH($A240,Puntos_Jornada!$B$1:$M$1,0)),0)</f>
        <v>0</v>
      </c>
      <c r="D240" s="6">
        <f>IFERROR(INDEX(Puntos_Jornada!$B$2:$M$25,MATCH(Plantillas!D240,Puntos_Jornada!$A$2:$A$25,0),MATCH($A240,Puntos_Jornada!$B$1:$M$1,0)),0)</f>
        <v>0</v>
      </c>
      <c r="E240" s="6">
        <f>IFERROR(INDEX(Puntos_Jornada!$B$2:$M$25,MATCH(Plantillas!E240,Puntos_Jornada!$A$2:$A$25,0),MATCH($A240,Puntos_Jornada!$B$1:$M$1,0)),0)</f>
        <v>0</v>
      </c>
      <c r="F240" s="6">
        <f>IFERROR(INDEX(Puntos_Jornada!$B$2:$M$25,MATCH(Plantillas!F240,Puntos_Jornada!$A$2:$A$25,0),MATCH($A240,Puntos_Jornada!$B$1:$M$1,0)),0)</f>
        <v>0</v>
      </c>
      <c r="G240" s="6">
        <f>IFERROR(INDEX(Puntos_Jornada!$B$2:$M$25,MATCH(Plantillas!G240,Puntos_Jornada!$A$2:$A$25,0),MATCH($A240,Puntos_Jornada!$B$1:$M$1,0)),0)</f>
        <v>0</v>
      </c>
      <c r="H240" s="6">
        <f>IFERROR(INDEX(Puntos_Jornada!$B$2:$M$25,MATCH(Plantillas!H240,Puntos_Jornada!$A$2:$A$25,0),MATCH($A240,Puntos_Jornada!$B$1:$M$1,0)),0)</f>
        <v>0</v>
      </c>
      <c r="I240" s="15">
        <f t="shared" si="3"/>
        <v>0</v>
      </c>
    </row>
    <row r="241" spans="1:9" x14ac:dyDescent="0.25">
      <c r="A241" s="6">
        <f>Plantillas!A241</f>
        <v>10</v>
      </c>
      <c r="B241" s="13" t="str">
        <f>Plantillas!B241</f>
        <v>Alumno 24</v>
      </c>
      <c r="C241" s="6">
        <f>IFERROR(INDEX(Puntos_Jornada!$B$2:$M$25,MATCH(Plantillas!C241,Puntos_Jornada!$A$2:$A$25,0),MATCH($A241,Puntos_Jornada!$B$1:$M$1,0)),0)</f>
        <v>0</v>
      </c>
      <c r="D241" s="6">
        <f>IFERROR(INDEX(Puntos_Jornada!$B$2:$M$25,MATCH(Plantillas!D241,Puntos_Jornada!$A$2:$A$25,0),MATCH($A241,Puntos_Jornada!$B$1:$M$1,0)),0)</f>
        <v>0</v>
      </c>
      <c r="E241" s="6">
        <f>IFERROR(INDEX(Puntos_Jornada!$B$2:$M$25,MATCH(Plantillas!E241,Puntos_Jornada!$A$2:$A$25,0),MATCH($A241,Puntos_Jornada!$B$1:$M$1,0)),0)</f>
        <v>0</v>
      </c>
      <c r="F241" s="6">
        <f>IFERROR(INDEX(Puntos_Jornada!$B$2:$M$25,MATCH(Plantillas!F241,Puntos_Jornada!$A$2:$A$25,0),MATCH($A241,Puntos_Jornada!$B$1:$M$1,0)),0)</f>
        <v>0</v>
      </c>
      <c r="G241" s="6">
        <f>IFERROR(INDEX(Puntos_Jornada!$B$2:$M$25,MATCH(Plantillas!G241,Puntos_Jornada!$A$2:$A$25,0),MATCH($A241,Puntos_Jornada!$B$1:$M$1,0)),0)</f>
        <v>0</v>
      </c>
      <c r="H241" s="6">
        <f>IFERROR(INDEX(Puntos_Jornada!$B$2:$M$25,MATCH(Plantillas!H241,Puntos_Jornada!$A$2:$A$25,0),MATCH($A241,Puntos_Jornada!$B$1:$M$1,0)),0)</f>
        <v>0</v>
      </c>
      <c r="I241" s="15">
        <f t="shared" si="3"/>
        <v>0</v>
      </c>
    </row>
    <row r="242" spans="1:9" x14ac:dyDescent="0.25">
      <c r="A242" s="6">
        <f>Plantillas!A242</f>
        <v>11</v>
      </c>
      <c r="B242" s="13" t="str">
        <f>Plantillas!B242</f>
        <v>Alumno 1</v>
      </c>
      <c r="C242" s="6">
        <f>IFERROR(INDEX(Puntos_Jornada!$B$2:$M$25,MATCH(Plantillas!C242,Puntos_Jornada!$A$2:$A$25,0),MATCH($A242,Puntos_Jornada!$B$1:$M$1,0)),0)</f>
        <v>0</v>
      </c>
      <c r="D242" s="6">
        <f>IFERROR(INDEX(Puntos_Jornada!$B$2:$M$25,MATCH(Plantillas!D242,Puntos_Jornada!$A$2:$A$25,0),MATCH($A242,Puntos_Jornada!$B$1:$M$1,0)),0)</f>
        <v>0</v>
      </c>
      <c r="E242" s="6">
        <f>IFERROR(INDEX(Puntos_Jornada!$B$2:$M$25,MATCH(Plantillas!E242,Puntos_Jornada!$A$2:$A$25,0),MATCH($A242,Puntos_Jornada!$B$1:$M$1,0)),0)</f>
        <v>0</v>
      </c>
      <c r="F242" s="6">
        <f>IFERROR(INDEX(Puntos_Jornada!$B$2:$M$25,MATCH(Plantillas!F242,Puntos_Jornada!$A$2:$A$25,0),MATCH($A242,Puntos_Jornada!$B$1:$M$1,0)),0)</f>
        <v>0</v>
      </c>
      <c r="G242" s="6">
        <f>IFERROR(INDEX(Puntos_Jornada!$B$2:$M$25,MATCH(Plantillas!G242,Puntos_Jornada!$A$2:$A$25,0),MATCH($A242,Puntos_Jornada!$B$1:$M$1,0)),0)</f>
        <v>0</v>
      </c>
      <c r="H242" s="6">
        <f>IFERROR(INDEX(Puntos_Jornada!$B$2:$M$25,MATCH(Plantillas!H242,Puntos_Jornada!$A$2:$A$25,0),MATCH($A242,Puntos_Jornada!$B$1:$M$1,0)),0)</f>
        <v>0</v>
      </c>
      <c r="I242" s="15">
        <f t="shared" si="3"/>
        <v>0</v>
      </c>
    </row>
    <row r="243" spans="1:9" x14ac:dyDescent="0.25">
      <c r="A243" s="6">
        <f>Plantillas!A243</f>
        <v>11</v>
      </c>
      <c r="B243" s="13" t="str">
        <f>Plantillas!B243</f>
        <v>Alumno 2</v>
      </c>
      <c r="C243" s="6">
        <f>IFERROR(INDEX(Puntos_Jornada!$B$2:$M$25,MATCH(Plantillas!C243,Puntos_Jornada!$A$2:$A$25,0),MATCH($A243,Puntos_Jornada!$B$1:$M$1,0)),0)</f>
        <v>0</v>
      </c>
      <c r="D243" s="6">
        <f>IFERROR(INDEX(Puntos_Jornada!$B$2:$M$25,MATCH(Plantillas!D243,Puntos_Jornada!$A$2:$A$25,0),MATCH($A243,Puntos_Jornada!$B$1:$M$1,0)),0)</f>
        <v>0</v>
      </c>
      <c r="E243" s="6">
        <f>IFERROR(INDEX(Puntos_Jornada!$B$2:$M$25,MATCH(Plantillas!E243,Puntos_Jornada!$A$2:$A$25,0),MATCH($A243,Puntos_Jornada!$B$1:$M$1,0)),0)</f>
        <v>0</v>
      </c>
      <c r="F243" s="6">
        <f>IFERROR(INDEX(Puntos_Jornada!$B$2:$M$25,MATCH(Plantillas!F243,Puntos_Jornada!$A$2:$A$25,0),MATCH($A243,Puntos_Jornada!$B$1:$M$1,0)),0)</f>
        <v>0</v>
      </c>
      <c r="G243" s="6">
        <f>IFERROR(INDEX(Puntos_Jornada!$B$2:$M$25,MATCH(Plantillas!G243,Puntos_Jornada!$A$2:$A$25,0),MATCH($A243,Puntos_Jornada!$B$1:$M$1,0)),0)</f>
        <v>0</v>
      </c>
      <c r="H243" s="6">
        <f>IFERROR(INDEX(Puntos_Jornada!$B$2:$M$25,MATCH(Plantillas!H243,Puntos_Jornada!$A$2:$A$25,0),MATCH($A243,Puntos_Jornada!$B$1:$M$1,0)),0)</f>
        <v>0</v>
      </c>
      <c r="I243" s="15">
        <f t="shared" si="3"/>
        <v>0</v>
      </c>
    </row>
    <row r="244" spans="1:9" x14ac:dyDescent="0.25">
      <c r="A244" s="6">
        <f>Plantillas!A244</f>
        <v>11</v>
      </c>
      <c r="B244" s="13" t="str">
        <f>Plantillas!B244</f>
        <v>Alumno 3</v>
      </c>
      <c r="C244" s="6">
        <f>IFERROR(INDEX(Puntos_Jornada!$B$2:$M$25,MATCH(Plantillas!C244,Puntos_Jornada!$A$2:$A$25,0),MATCH($A244,Puntos_Jornada!$B$1:$M$1,0)),0)</f>
        <v>0</v>
      </c>
      <c r="D244" s="6">
        <f>IFERROR(INDEX(Puntos_Jornada!$B$2:$M$25,MATCH(Plantillas!D244,Puntos_Jornada!$A$2:$A$25,0),MATCH($A244,Puntos_Jornada!$B$1:$M$1,0)),0)</f>
        <v>0</v>
      </c>
      <c r="E244" s="6">
        <f>IFERROR(INDEX(Puntos_Jornada!$B$2:$M$25,MATCH(Plantillas!E244,Puntos_Jornada!$A$2:$A$25,0),MATCH($A244,Puntos_Jornada!$B$1:$M$1,0)),0)</f>
        <v>0</v>
      </c>
      <c r="F244" s="6">
        <f>IFERROR(INDEX(Puntos_Jornada!$B$2:$M$25,MATCH(Plantillas!F244,Puntos_Jornada!$A$2:$A$25,0),MATCH($A244,Puntos_Jornada!$B$1:$M$1,0)),0)</f>
        <v>0</v>
      </c>
      <c r="G244" s="6">
        <f>IFERROR(INDEX(Puntos_Jornada!$B$2:$M$25,MATCH(Plantillas!G244,Puntos_Jornada!$A$2:$A$25,0),MATCH($A244,Puntos_Jornada!$B$1:$M$1,0)),0)</f>
        <v>0</v>
      </c>
      <c r="H244" s="6">
        <f>IFERROR(INDEX(Puntos_Jornada!$B$2:$M$25,MATCH(Plantillas!H244,Puntos_Jornada!$A$2:$A$25,0),MATCH($A244,Puntos_Jornada!$B$1:$M$1,0)),0)</f>
        <v>0</v>
      </c>
      <c r="I244" s="15">
        <f t="shared" si="3"/>
        <v>0</v>
      </c>
    </row>
    <row r="245" spans="1:9" x14ac:dyDescent="0.25">
      <c r="A245" s="6">
        <f>Plantillas!A245</f>
        <v>11</v>
      </c>
      <c r="B245" s="13" t="str">
        <f>Plantillas!B245</f>
        <v>Alumno 4</v>
      </c>
      <c r="C245" s="6">
        <f>IFERROR(INDEX(Puntos_Jornada!$B$2:$M$25,MATCH(Plantillas!C245,Puntos_Jornada!$A$2:$A$25,0),MATCH($A245,Puntos_Jornada!$B$1:$M$1,0)),0)</f>
        <v>0</v>
      </c>
      <c r="D245" s="6">
        <f>IFERROR(INDEX(Puntos_Jornada!$B$2:$M$25,MATCH(Plantillas!D245,Puntos_Jornada!$A$2:$A$25,0),MATCH($A245,Puntos_Jornada!$B$1:$M$1,0)),0)</f>
        <v>0</v>
      </c>
      <c r="E245" s="6">
        <f>IFERROR(INDEX(Puntos_Jornada!$B$2:$M$25,MATCH(Plantillas!E245,Puntos_Jornada!$A$2:$A$25,0),MATCH($A245,Puntos_Jornada!$B$1:$M$1,0)),0)</f>
        <v>0</v>
      </c>
      <c r="F245" s="6">
        <f>IFERROR(INDEX(Puntos_Jornada!$B$2:$M$25,MATCH(Plantillas!F245,Puntos_Jornada!$A$2:$A$25,0),MATCH($A245,Puntos_Jornada!$B$1:$M$1,0)),0)</f>
        <v>0</v>
      </c>
      <c r="G245" s="6">
        <f>IFERROR(INDEX(Puntos_Jornada!$B$2:$M$25,MATCH(Plantillas!G245,Puntos_Jornada!$A$2:$A$25,0),MATCH($A245,Puntos_Jornada!$B$1:$M$1,0)),0)</f>
        <v>0</v>
      </c>
      <c r="H245" s="6">
        <f>IFERROR(INDEX(Puntos_Jornada!$B$2:$M$25,MATCH(Plantillas!H245,Puntos_Jornada!$A$2:$A$25,0),MATCH($A245,Puntos_Jornada!$B$1:$M$1,0)),0)</f>
        <v>0</v>
      </c>
      <c r="I245" s="15">
        <f t="shared" si="3"/>
        <v>0</v>
      </c>
    </row>
    <row r="246" spans="1:9" x14ac:dyDescent="0.25">
      <c r="A246" s="6">
        <f>Plantillas!A246</f>
        <v>11</v>
      </c>
      <c r="B246" s="13" t="str">
        <f>Plantillas!B246</f>
        <v>Alumno 5</v>
      </c>
      <c r="C246" s="6">
        <f>IFERROR(INDEX(Puntos_Jornada!$B$2:$M$25,MATCH(Plantillas!C246,Puntos_Jornada!$A$2:$A$25,0),MATCH($A246,Puntos_Jornada!$B$1:$M$1,0)),0)</f>
        <v>0</v>
      </c>
      <c r="D246" s="6">
        <f>IFERROR(INDEX(Puntos_Jornada!$B$2:$M$25,MATCH(Plantillas!D246,Puntos_Jornada!$A$2:$A$25,0),MATCH($A246,Puntos_Jornada!$B$1:$M$1,0)),0)</f>
        <v>0</v>
      </c>
      <c r="E246" s="6">
        <f>IFERROR(INDEX(Puntos_Jornada!$B$2:$M$25,MATCH(Plantillas!E246,Puntos_Jornada!$A$2:$A$25,0),MATCH($A246,Puntos_Jornada!$B$1:$M$1,0)),0)</f>
        <v>0</v>
      </c>
      <c r="F246" s="6">
        <f>IFERROR(INDEX(Puntos_Jornada!$B$2:$M$25,MATCH(Plantillas!F246,Puntos_Jornada!$A$2:$A$25,0),MATCH($A246,Puntos_Jornada!$B$1:$M$1,0)),0)</f>
        <v>0</v>
      </c>
      <c r="G246" s="6">
        <f>IFERROR(INDEX(Puntos_Jornada!$B$2:$M$25,MATCH(Plantillas!G246,Puntos_Jornada!$A$2:$A$25,0),MATCH($A246,Puntos_Jornada!$B$1:$M$1,0)),0)</f>
        <v>0</v>
      </c>
      <c r="H246" s="6">
        <f>IFERROR(INDEX(Puntos_Jornada!$B$2:$M$25,MATCH(Plantillas!H246,Puntos_Jornada!$A$2:$A$25,0),MATCH($A246,Puntos_Jornada!$B$1:$M$1,0)),0)</f>
        <v>0</v>
      </c>
      <c r="I246" s="15">
        <f t="shared" si="3"/>
        <v>0</v>
      </c>
    </row>
    <row r="247" spans="1:9" x14ac:dyDescent="0.25">
      <c r="A247" s="6">
        <f>Plantillas!A247</f>
        <v>11</v>
      </c>
      <c r="B247" s="13" t="str">
        <f>Plantillas!B247</f>
        <v>Alumno 6</v>
      </c>
      <c r="C247" s="6">
        <f>IFERROR(INDEX(Puntos_Jornada!$B$2:$M$25,MATCH(Plantillas!C247,Puntos_Jornada!$A$2:$A$25,0),MATCH($A247,Puntos_Jornada!$B$1:$M$1,0)),0)</f>
        <v>0</v>
      </c>
      <c r="D247" s="6">
        <f>IFERROR(INDEX(Puntos_Jornada!$B$2:$M$25,MATCH(Plantillas!D247,Puntos_Jornada!$A$2:$A$25,0),MATCH($A247,Puntos_Jornada!$B$1:$M$1,0)),0)</f>
        <v>0</v>
      </c>
      <c r="E247" s="6">
        <f>IFERROR(INDEX(Puntos_Jornada!$B$2:$M$25,MATCH(Plantillas!E247,Puntos_Jornada!$A$2:$A$25,0),MATCH($A247,Puntos_Jornada!$B$1:$M$1,0)),0)</f>
        <v>0</v>
      </c>
      <c r="F247" s="6">
        <f>IFERROR(INDEX(Puntos_Jornada!$B$2:$M$25,MATCH(Plantillas!F247,Puntos_Jornada!$A$2:$A$25,0),MATCH($A247,Puntos_Jornada!$B$1:$M$1,0)),0)</f>
        <v>0</v>
      </c>
      <c r="G247" s="6">
        <f>IFERROR(INDEX(Puntos_Jornada!$B$2:$M$25,MATCH(Plantillas!G247,Puntos_Jornada!$A$2:$A$25,0),MATCH($A247,Puntos_Jornada!$B$1:$M$1,0)),0)</f>
        <v>0</v>
      </c>
      <c r="H247" s="6">
        <f>IFERROR(INDEX(Puntos_Jornada!$B$2:$M$25,MATCH(Plantillas!H247,Puntos_Jornada!$A$2:$A$25,0),MATCH($A247,Puntos_Jornada!$B$1:$M$1,0)),0)</f>
        <v>0</v>
      </c>
      <c r="I247" s="15">
        <f t="shared" si="3"/>
        <v>0</v>
      </c>
    </row>
    <row r="248" spans="1:9" x14ac:dyDescent="0.25">
      <c r="A248" s="6">
        <f>Plantillas!A248</f>
        <v>11</v>
      </c>
      <c r="B248" s="13" t="str">
        <f>Plantillas!B248</f>
        <v>Alumno 7</v>
      </c>
      <c r="C248" s="6">
        <f>IFERROR(INDEX(Puntos_Jornada!$B$2:$M$25,MATCH(Plantillas!C248,Puntos_Jornada!$A$2:$A$25,0),MATCH($A248,Puntos_Jornada!$B$1:$M$1,0)),0)</f>
        <v>0</v>
      </c>
      <c r="D248" s="6">
        <f>IFERROR(INDEX(Puntos_Jornada!$B$2:$M$25,MATCH(Plantillas!D248,Puntos_Jornada!$A$2:$A$25,0),MATCH($A248,Puntos_Jornada!$B$1:$M$1,0)),0)</f>
        <v>0</v>
      </c>
      <c r="E248" s="6">
        <f>IFERROR(INDEX(Puntos_Jornada!$B$2:$M$25,MATCH(Plantillas!E248,Puntos_Jornada!$A$2:$A$25,0),MATCH($A248,Puntos_Jornada!$B$1:$M$1,0)),0)</f>
        <v>0</v>
      </c>
      <c r="F248" s="6">
        <f>IFERROR(INDEX(Puntos_Jornada!$B$2:$M$25,MATCH(Plantillas!F248,Puntos_Jornada!$A$2:$A$25,0),MATCH($A248,Puntos_Jornada!$B$1:$M$1,0)),0)</f>
        <v>0</v>
      </c>
      <c r="G248" s="6">
        <f>IFERROR(INDEX(Puntos_Jornada!$B$2:$M$25,MATCH(Plantillas!G248,Puntos_Jornada!$A$2:$A$25,0),MATCH($A248,Puntos_Jornada!$B$1:$M$1,0)),0)</f>
        <v>0</v>
      </c>
      <c r="H248" s="6">
        <f>IFERROR(INDEX(Puntos_Jornada!$B$2:$M$25,MATCH(Plantillas!H248,Puntos_Jornada!$A$2:$A$25,0),MATCH($A248,Puntos_Jornada!$B$1:$M$1,0)),0)</f>
        <v>0</v>
      </c>
      <c r="I248" s="15">
        <f t="shared" si="3"/>
        <v>0</v>
      </c>
    </row>
    <row r="249" spans="1:9" x14ac:dyDescent="0.25">
      <c r="A249" s="6">
        <f>Plantillas!A249</f>
        <v>11</v>
      </c>
      <c r="B249" s="13" t="str">
        <f>Plantillas!B249</f>
        <v>Alumno 8</v>
      </c>
      <c r="C249" s="6">
        <f>IFERROR(INDEX(Puntos_Jornada!$B$2:$M$25,MATCH(Plantillas!C249,Puntos_Jornada!$A$2:$A$25,0),MATCH($A249,Puntos_Jornada!$B$1:$M$1,0)),0)</f>
        <v>0</v>
      </c>
      <c r="D249" s="6">
        <f>IFERROR(INDEX(Puntos_Jornada!$B$2:$M$25,MATCH(Plantillas!D249,Puntos_Jornada!$A$2:$A$25,0),MATCH($A249,Puntos_Jornada!$B$1:$M$1,0)),0)</f>
        <v>0</v>
      </c>
      <c r="E249" s="6">
        <f>IFERROR(INDEX(Puntos_Jornada!$B$2:$M$25,MATCH(Plantillas!E249,Puntos_Jornada!$A$2:$A$25,0),MATCH($A249,Puntos_Jornada!$B$1:$M$1,0)),0)</f>
        <v>0</v>
      </c>
      <c r="F249" s="6">
        <f>IFERROR(INDEX(Puntos_Jornada!$B$2:$M$25,MATCH(Plantillas!F249,Puntos_Jornada!$A$2:$A$25,0),MATCH($A249,Puntos_Jornada!$B$1:$M$1,0)),0)</f>
        <v>0</v>
      </c>
      <c r="G249" s="6">
        <f>IFERROR(INDEX(Puntos_Jornada!$B$2:$M$25,MATCH(Plantillas!G249,Puntos_Jornada!$A$2:$A$25,0),MATCH($A249,Puntos_Jornada!$B$1:$M$1,0)),0)</f>
        <v>0</v>
      </c>
      <c r="H249" s="6">
        <f>IFERROR(INDEX(Puntos_Jornada!$B$2:$M$25,MATCH(Plantillas!H249,Puntos_Jornada!$A$2:$A$25,0),MATCH($A249,Puntos_Jornada!$B$1:$M$1,0)),0)</f>
        <v>0</v>
      </c>
      <c r="I249" s="15">
        <f t="shared" si="3"/>
        <v>0</v>
      </c>
    </row>
    <row r="250" spans="1:9" x14ac:dyDescent="0.25">
      <c r="A250" s="6">
        <f>Plantillas!A250</f>
        <v>11</v>
      </c>
      <c r="B250" s="13" t="str">
        <f>Plantillas!B250</f>
        <v>Alumno 9</v>
      </c>
      <c r="C250" s="6">
        <f>IFERROR(INDEX(Puntos_Jornada!$B$2:$M$25,MATCH(Plantillas!C250,Puntos_Jornada!$A$2:$A$25,0),MATCH($A250,Puntos_Jornada!$B$1:$M$1,0)),0)</f>
        <v>0</v>
      </c>
      <c r="D250" s="6">
        <f>IFERROR(INDEX(Puntos_Jornada!$B$2:$M$25,MATCH(Plantillas!D250,Puntos_Jornada!$A$2:$A$25,0),MATCH($A250,Puntos_Jornada!$B$1:$M$1,0)),0)</f>
        <v>0</v>
      </c>
      <c r="E250" s="6">
        <f>IFERROR(INDEX(Puntos_Jornada!$B$2:$M$25,MATCH(Plantillas!E250,Puntos_Jornada!$A$2:$A$25,0),MATCH($A250,Puntos_Jornada!$B$1:$M$1,0)),0)</f>
        <v>0</v>
      </c>
      <c r="F250" s="6">
        <f>IFERROR(INDEX(Puntos_Jornada!$B$2:$M$25,MATCH(Plantillas!F250,Puntos_Jornada!$A$2:$A$25,0),MATCH($A250,Puntos_Jornada!$B$1:$M$1,0)),0)</f>
        <v>0</v>
      </c>
      <c r="G250" s="6">
        <f>IFERROR(INDEX(Puntos_Jornada!$B$2:$M$25,MATCH(Plantillas!G250,Puntos_Jornada!$A$2:$A$25,0),MATCH($A250,Puntos_Jornada!$B$1:$M$1,0)),0)</f>
        <v>0</v>
      </c>
      <c r="H250" s="6">
        <f>IFERROR(INDEX(Puntos_Jornada!$B$2:$M$25,MATCH(Plantillas!H250,Puntos_Jornada!$A$2:$A$25,0),MATCH($A250,Puntos_Jornada!$B$1:$M$1,0)),0)</f>
        <v>0</v>
      </c>
      <c r="I250" s="15">
        <f t="shared" si="3"/>
        <v>0</v>
      </c>
    </row>
    <row r="251" spans="1:9" x14ac:dyDescent="0.25">
      <c r="A251" s="6">
        <f>Plantillas!A251</f>
        <v>11</v>
      </c>
      <c r="B251" s="13" t="str">
        <f>Plantillas!B251</f>
        <v>Alumno 10</v>
      </c>
      <c r="C251" s="6">
        <f>IFERROR(INDEX(Puntos_Jornada!$B$2:$M$25,MATCH(Plantillas!C251,Puntos_Jornada!$A$2:$A$25,0),MATCH($A251,Puntos_Jornada!$B$1:$M$1,0)),0)</f>
        <v>0</v>
      </c>
      <c r="D251" s="6">
        <f>IFERROR(INDEX(Puntos_Jornada!$B$2:$M$25,MATCH(Plantillas!D251,Puntos_Jornada!$A$2:$A$25,0),MATCH($A251,Puntos_Jornada!$B$1:$M$1,0)),0)</f>
        <v>0</v>
      </c>
      <c r="E251" s="6">
        <f>IFERROR(INDEX(Puntos_Jornada!$B$2:$M$25,MATCH(Plantillas!E251,Puntos_Jornada!$A$2:$A$25,0),MATCH($A251,Puntos_Jornada!$B$1:$M$1,0)),0)</f>
        <v>0</v>
      </c>
      <c r="F251" s="6">
        <f>IFERROR(INDEX(Puntos_Jornada!$B$2:$M$25,MATCH(Plantillas!F251,Puntos_Jornada!$A$2:$A$25,0),MATCH($A251,Puntos_Jornada!$B$1:$M$1,0)),0)</f>
        <v>0</v>
      </c>
      <c r="G251" s="6">
        <f>IFERROR(INDEX(Puntos_Jornada!$B$2:$M$25,MATCH(Plantillas!G251,Puntos_Jornada!$A$2:$A$25,0),MATCH($A251,Puntos_Jornada!$B$1:$M$1,0)),0)</f>
        <v>0</v>
      </c>
      <c r="H251" s="6">
        <f>IFERROR(INDEX(Puntos_Jornada!$B$2:$M$25,MATCH(Plantillas!H251,Puntos_Jornada!$A$2:$A$25,0),MATCH($A251,Puntos_Jornada!$B$1:$M$1,0)),0)</f>
        <v>0</v>
      </c>
      <c r="I251" s="15">
        <f t="shared" si="3"/>
        <v>0</v>
      </c>
    </row>
    <row r="252" spans="1:9" x14ac:dyDescent="0.25">
      <c r="A252" s="6">
        <f>Plantillas!A252</f>
        <v>11</v>
      </c>
      <c r="B252" s="13" t="str">
        <f>Plantillas!B252</f>
        <v>Alumno 11</v>
      </c>
      <c r="C252" s="6">
        <f>IFERROR(INDEX(Puntos_Jornada!$B$2:$M$25,MATCH(Plantillas!C252,Puntos_Jornada!$A$2:$A$25,0),MATCH($A252,Puntos_Jornada!$B$1:$M$1,0)),0)</f>
        <v>0</v>
      </c>
      <c r="D252" s="6">
        <f>IFERROR(INDEX(Puntos_Jornada!$B$2:$M$25,MATCH(Plantillas!D252,Puntos_Jornada!$A$2:$A$25,0),MATCH($A252,Puntos_Jornada!$B$1:$M$1,0)),0)</f>
        <v>0</v>
      </c>
      <c r="E252" s="6">
        <f>IFERROR(INDEX(Puntos_Jornada!$B$2:$M$25,MATCH(Plantillas!E252,Puntos_Jornada!$A$2:$A$25,0),MATCH($A252,Puntos_Jornada!$B$1:$M$1,0)),0)</f>
        <v>0</v>
      </c>
      <c r="F252" s="6">
        <f>IFERROR(INDEX(Puntos_Jornada!$B$2:$M$25,MATCH(Plantillas!F252,Puntos_Jornada!$A$2:$A$25,0),MATCH($A252,Puntos_Jornada!$B$1:$M$1,0)),0)</f>
        <v>0</v>
      </c>
      <c r="G252" s="6">
        <f>IFERROR(INDEX(Puntos_Jornada!$B$2:$M$25,MATCH(Plantillas!G252,Puntos_Jornada!$A$2:$A$25,0),MATCH($A252,Puntos_Jornada!$B$1:$M$1,0)),0)</f>
        <v>0</v>
      </c>
      <c r="H252" s="6">
        <f>IFERROR(INDEX(Puntos_Jornada!$B$2:$M$25,MATCH(Plantillas!H252,Puntos_Jornada!$A$2:$A$25,0),MATCH($A252,Puntos_Jornada!$B$1:$M$1,0)),0)</f>
        <v>0</v>
      </c>
      <c r="I252" s="15">
        <f t="shared" si="3"/>
        <v>0</v>
      </c>
    </row>
    <row r="253" spans="1:9" x14ac:dyDescent="0.25">
      <c r="A253" s="6">
        <f>Plantillas!A253</f>
        <v>11</v>
      </c>
      <c r="B253" s="13" t="str">
        <f>Plantillas!B253</f>
        <v>Alumno 12</v>
      </c>
      <c r="C253" s="6">
        <f>IFERROR(INDEX(Puntos_Jornada!$B$2:$M$25,MATCH(Plantillas!C253,Puntos_Jornada!$A$2:$A$25,0),MATCH($A253,Puntos_Jornada!$B$1:$M$1,0)),0)</f>
        <v>0</v>
      </c>
      <c r="D253" s="6">
        <f>IFERROR(INDEX(Puntos_Jornada!$B$2:$M$25,MATCH(Plantillas!D253,Puntos_Jornada!$A$2:$A$25,0),MATCH($A253,Puntos_Jornada!$B$1:$M$1,0)),0)</f>
        <v>0</v>
      </c>
      <c r="E253" s="6">
        <f>IFERROR(INDEX(Puntos_Jornada!$B$2:$M$25,MATCH(Plantillas!E253,Puntos_Jornada!$A$2:$A$25,0),MATCH($A253,Puntos_Jornada!$B$1:$M$1,0)),0)</f>
        <v>0</v>
      </c>
      <c r="F253" s="6">
        <f>IFERROR(INDEX(Puntos_Jornada!$B$2:$M$25,MATCH(Plantillas!F253,Puntos_Jornada!$A$2:$A$25,0),MATCH($A253,Puntos_Jornada!$B$1:$M$1,0)),0)</f>
        <v>0</v>
      </c>
      <c r="G253" s="6">
        <f>IFERROR(INDEX(Puntos_Jornada!$B$2:$M$25,MATCH(Plantillas!G253,Puntos_Jornada!$A$2:$A$25,0),MATCH($A253,Puntos_Jornada!$B$1:$M$1,0)),0)</f>
        <v>0</v>
      </c>
      <c r="H253" s="6">
        <f>IFERROR(INDEX(Puntos_Jornada!$B$2:$M$25,MATCH(Plantillas!H253,Puntos_Jornada!$A$2:$A$25,0),MATCH($A253,Puntos_Jornada!$B$1:$M$1,0)),0)</f>
        <v>0</v>
      </c>
      <c r="I253" s="15">
        <f t="shared" si="3"/>
        <v>0</v>
      </c>
    </row>
    <row r="254" spans="1:9" x14ac:dyDescent="0.25">
      <c r="A254" s="6">
        <f>Plantillas!A254</f>
        <v>11</v>
      </c>
      <c r="B254" s="13" t="str">
        <f>Plantillas!B254</f>
        <v>Alumno 13</v>
      </c>
      <c r="C254" s="6">
        <f>IFERROR(INDEX(Puntos_Jornada!$B$2:$M$25,MATCH(Plantillas!C254,Puntos_Jornada!$A$2:$A$25,0),MATCH($A254,Puntos_Jornada!$B$1:$M$1,0)),0)</f>
        <v>0</v>
      </c>
      <c r="D254" s="6">
        <f>IFERROR(INDEX(Puntos_Jornada!$B$2:$M$25,MATCH(Plantillas!D254,Puntos_Jornada!$A$2:$A$25,0),MATCH($A254,Puntos_Jornada!$B$1:$M$1,0)),0)</f>
        <v>0</v>
      </c>
      <c r="E254" s="6">
        <f>IFERROR(INDEX(Puntos_Jornada!$B$2:$M$25,MATCH(Plantillas!E254,Puntos_Jornada!$A$2:$A$25,0),MATCH($A254,Puntos_Jornada!$B$1:$M$1,0)),0)</f>
        <v>0</v>
      </c>
      <c r="F254" s="6">
        <f>IFERROR(INDEX(Puntos_Jornada!$B$2:$M$25,MATCH(Plantillas!F254,Puntos_Jornada!$A$2:$A$25,0),MATCH($A254,Puntos_Jornada!$B$1:$M$1,0)),0)</f>
        <v>0</v>
      </c>
      <c r="G254" s="6">
        <f>IFERROR(INDEX(Puntos_Jornada!$B$2:$M$25,MATCH(Plantillas!G254,Puntos_Jornada!$A$2:$A$25,0),MATCH($A254,Puntos_Jornada!$B$1:$M$1,0)),0)</f>
        <v>0</v>
      </c>
      <c r="H254" s="6">
        <f>IFERROR(INDEX(Puntos_Jornada!$B$2:$M$25,MATCH(Plantillas!H254,Puntos_Jornada!$A$2:$A$25,0),MATCH($A254,Puntos_Jornada!$B$1:$M$1,0)),0)</f>
        <v>0</v>
      </c>
      <c r="I254" s="15">
        <f t="shared" si="3"/>
        <v>0</v>
      </c>
    </row>
    <row r="255" spans="1:9" x14ac:dyDescent="0.25">
      <c r="A255" s="6">
        <f>Plantillas!A255</f>
        <v>11</v>
      </c>
      <c r="B255" s="13" t="str">
        <f>Plantillas!B255</f>
        <v>Alumno 14</v>
      </c>
      <c r="C255" s="6">
        <f>IFERROR(INDEX(Puntos_Jornada!$B$2:$M$25,MATCH(Plantillas!C255,Puntos_Jornada!$A$2:$A$25,0),MATCH($A255,Puntos_Jornada!$B$1:$M$1,0)),0)</f>
        <v>0</v>
      </c>
      <c r="D255" s="6">
        <f>IFERROR(INDEX(Puntos_Jornada!$B$2:$M$25,MATCH(Plantillas!D255,Puntos_Jornada!$A$2:$A$25,0),MATCH($A255,Puntos_Jornada!$B$1:$M$1,0)),0)</f>
        <v>0</v>
      </c>
      <c r="E255" s="6">
        <f>IFERROR(INDEX(Puntos_Jornada!$B$2:$M$25,MATCH(Plantillas!E255,Puntos_Jornada!$A$2:$A$25,0),MATCH($A255,Puntos_Jornada!$B$1:$M$1,0)),0)</f>
        <v>0</v>
      </c>
      <c r="F255" s="6">
        <f>IFERROR(INDEX(Puntos_Jornada!$B$2:$M$25,MATCH(Plantillas!F255,Puntos_Jornada!$A$2:$A$25,0),MATCH($A255,Puntos_Jornada!$B$1:$M$1,0)),0)</f>
        <v>0</v>
      </c>
      <c r="G255" s="6">
        <f>IFERROR(INDEX(Puntos_Jornada!$B$2:$M$25,MATCH(Plantillas!G255,Puntos_Jornada!$A$2:$A$25,0),MATCH($A255,Puntos_Jornada!$B$1:$M$1,0)),0)</f>
        <v>0</v>
      </c>
      <c r="H255" s="6">
        <f>IFERROR(INDEX(Puntos_Jornada!$B$2:$M$25,MATCH(Plantillas!H255,Puntos_Jornada!$A$2:$A$25,0),MATCH($A255,Puntos_Jornada!$B$1:$M$1,0)),0)</f>
        <v>0</v>
      </c>
      <c r="I255" s="15">
        <f t="shared" si="3"/>
        <v>0</v>
      </c>
    </row>
    <row r="256" spans="1:9" x14ac:dyDescent="0.25">
      <c r="A256" s="6">
        <f>Plantillas!A256</f>
        <v>11</v>
      </c>
      <c r="B256" s="13" t="str">
        <f>Plantillas!B256</f>
        <v>Alumno 15</v>
      </c>
      <c r="C256" s="6">
        <f>IFERROR(INDEX(Puntos_Jornada!$B$2:$M$25,MATCH(Plantillas!C256,Puntos_Jornada!$A$2:$A$25,0),MATCH($A256,Puntos_Jornada!$B$1:$M$1,0)),0)</f>
        <v>0</v>
      </c>
      <c r="D256" s="6">
        <f>IFERROR(INDEX(Puntos_Jornada!$B$2:$M$25,MATCH(Plantillas!D256,Puntos_Jornada!$A$2:$A$25,0),MATCH($A256,Puntos_Jornada!$B$1:$M$1,0)),0)</f>
        <v>0</v>
      </c>
      <c r="E256" s="6">
        <f>IFERROR(INDEX(Puntos_Jornada!$B$2:$M$25,MATCH(Plantillas!E256,Puntos_Jornada!$A$2:$A$25,0),MATCH($A256,Puntos_Jornada!$B$1:$M$1,0)),0)</f>
        <v>0</v>
      </c>
      <c r="F256" s="6">
        <f>IFERROR(INDEX(Puntos_Jornada!$B$2:$M$25,MATCH(Plantillas!F256,Puntos_Jornada!$A$2:$A$25,0),MATCH($A256,Puntos_Jornada!$B$1:$M$1,0)),0)</f>
        <v>0</v>
      </c>
      <c r="G256" s="6">
        <f>IFERROR(INDEX(Puntos_Jornada!$B$2:$M$25,MATCH(Plantillas!G256,Puntos_Jornada!$A$2:$A$25,0),MATCH($A256,Puntos_Jornada!$B$1:$M$1,0)),0)</f>
        <v>0</v>
      </c>
      <c r="H256" s="6">
        <f>IFERROR(INDEX(Puntos_Jornada!$B$2:$M$25,MATCH(Plantillas!H256,Puntos_Jornada!$A$2:$A$25,0),MATCH($A256,Puntos_Jornada!$B$1:$M$1,0)),0)</f>
        <v>0</v>
      </c>
      <c r="I256" s="15">
        <f t="shared" si="3"/>
        <v>0</v>
      </c>
    </row>
    <row r="257" spans="1:9" x14ac:dyDescent="0.25">
      <c r="A257" s="6">
        <f>Plantillas!A257</f>
        <v>11</v>
      </c>
      <c r="B257" s="13" t="str">
        <f>Plantillas!B257</f>
        <v>Alumno 16</v>
      </c>
      <c r="C257" s="6">
        <f>IFERROR(INDEX(Puntos_Jornada!$B$2:$M$25,MATCH(Plantillas!C257,Puntos_Jornada!$A$2:$A$25,0),MATCH($A257,Puntos_Jornada!$B$1:$M$1,0)),0)</f>
        <v>0</v>
      </c>
      <c r="D257" s="6">
        <f>IFERROR(INDEX(Puntos_Jornada!$B$2:$M$25,MATCH(Plantillas!D257,Puntos_Jornada!$A$2:$A$25,0),MATCH($A257,Puntos_Jornada!$B$1:$M$1,0)),0)</f>
        <v>0</v>
      </c>
      <c r="E257" s="6">
        <f>IFERROR(INDEX(Puntos_Jornada!$B$2:$M$25,MATCH(Plantillas!E257,Puntos_Jornada!$A$2:$A$25,0),MATCH($A257,Puntos_Jornada!$B$1:$M$1,0)),0)</f>
        <v>0</v>
      </c>
      <c r="F257" s="6">
        <f>IFERROR(INDEX(Puntos_Jornada!$B$2:$M$25,MATCH(Plantillas!F257,Puntos_Jornada!$A$2:$A$25,0),MATCH($A257,Puntos_Jornada!$B$1:$M$1,0)),0)</f>
        <v>0</v>
      </c>
      <c r="G257" s="6">
        <f>IFERROR(INDEX(Puntos_Jornada!$B$2:$M$25,MATCH(Plantillas!G257,Puntos_Jornada!$A$2:$A$25,0),MATCH($A257,Puntos_Jornada!$B$1:$M$1,0)),0)</f>
        <v>0</v>
      </c>
      <c r="H257" s="6">
        <f>IFERROR(INDEX(Puntos_Jornada!$B$2:$M$25,MATCH(Plantillas!H257,Puntos_Jornada!$A$2:$A$25,0),MATCH($A257,Puntos_Jornada!$B$1:$M$1,0)),0)</f>
        <v>0</v>
      </c>
      <c r="I257" s="15">
        <f t="shared" si="3"/>
        <v>0</v>
      </c>
    </row>
    <row r="258" spans="1:9" x14ac:dyDescent="0.25">
      <c r="A258" s="6">
        <f>Plantillas!A258</f>
        <v>11</v>
      </c>
      <c r="B258" s="13" t="str">
        <f>Plantillas!B258</f>
        <v>Alumno 17</v>
      </c>
      <c r="C258" s="6">
        <f>IFERROR(INDEX(Puntos_Jornada!$B$2:$M$25,MATCH(Plantillas!C258,Puntos_Jornada!$A$2:$A$25,0),MATCH($A258,Puntos_Jornada!$B$1:$M$1,0)),0)</f>
        <v>0</v>
      </c>
      <c r="D258" s="6">
        <f>IFERROR(INDEX(Puntos_Jornada!$B$2:$M$25,MATCH(Plantillas!D258,Puntos_Jornada!$A$2:$A$25,0),MATCH($A258,Puntos_Jornada!$B$1:$M$1,0)),0)</f>
        <v>0</v>
      </c>
      <c r="E258" s="6">
        <f>IFERROR(INDEX(Puntos_Jornada!$B$2:$M$25,MATCH(Plantillas!E258,Puntos_Jornada!$A$2:$A$25,0),MATCH($A258,Puntos_Jornada!$B$1:$M$1,0)),0)</f>
        <v>0</v>
      </c>
      <c r="F258" s="6">
        <f>IFERROR(INDEX(Puntos_Jornada!$B$2:$M$25,MATCH(Plantillas!F258,Puntos_Jornada!$A$2:$A$25,0),MATCH($A258,Puntos_Jornada!$B$1:$M$1,0)),0)</f>
        <v>0</v>
      </c>
      <c r="G258" s="6">
        <f>IFERROR(INDEX(Puntos_Jornada!$B$2:$M$25,MATCH(Plantillas!G258,Puntos_Jornada!$A$2:$A$25,0),MATCH($A258,Puntos_Jornada!$B$1:$M$1,0)),0)</f>
        <v>0</v>
      </c>
      <c r="H258" s="6">
        <f>IFERROR(INDEX(Puntos_Jornada!$B$2:$M$25,MATCH(Plantillas!H258,Puntos_Jornada!$A$2:$A$25,0),MATCH($A258,Puntos_Jornada!$B$1:$M$1,0)),0)</f>
        <v>0</v>
      </c>
      <c r="I258" s="15">
        <f t="shared" ref="I258:I289" si="4">SUM(C258:G258)+H258</f>
        <v>0</v>
      </c>
    </row>
    <row r="259" spans="1:9" x14ac:dyDescent="0.25">
      <c r="A259" s="6">
        <f>Plantillas!A259</f>
        <v>11</v>
      </c>
      <c r="B259" s="13" t="str">
        <f>Plantillas!B259</f>
        <v>Alumno 18</v>
      </c>
      <c r="C259" s="6">
        <f>IFERROR(INDEX(Puntos_Jornada!$B$2:$M$25,MATCH(Plantillas!C259,Puntos_Jornada!$A$2:$A$25,0),MATCH($A259,Puntos_Jornada!$B$1:$M$1,0)),0)</f>
        <v>0</v>
      </c>
      <c r="D259" s="6">
        <f>IFERROR(INDEX(Puntos_Jornada!$B$2:$M$25,MATCH(Plantillas!D259,Puntos_Jornada!$A$2:$A$25,0),MATCH($A259,Puntos_Jornada!$B$1:$M$1,0)),0)</f>
        <v>0</v>
      </c>
      <c r="E259" s="6">
        <f>IFERROR(INDEX(Puntos_Jornada!$B$2:$M$25,MATCH(Plantillas!E259,Puntos_Jornada!$A$2:$A$25,0),MATCH($A259,Puntos_Jornada!$B$1:$M$1,0)),0)</f>
        <v>0</v>
      </c>
      <c r="F259" s="6">
        <f>IFERROR(INDEX(Puntos_Jornada!$B$2:$M$25,MATCH(Plantillas!F259,Puntos_Jornada!$A$2:$A$25,0),MATCH($A259,Puntos_Jornada!$B$1:$M$1,0)),0)</f>
        <v>0</v>
      </c>
      <c r="G259" s="6">
        <f>IFERROR(INDEX(Puntos_Jornada!$B$2:$M$25,MATCH(Plantillas!G259,Puntos_Jornada!$A$2:$A$25,0),MATCH($A259,Puntos_Jornada!$B$1:$M$1,0)),0)</f>
        <v>0</v>
      </c>
      <c r="H259" s="6">
        <f>IFERROR(INDEX(Puntos_Jornada!$B$2:$M$25,MATCH(Plantillas!H259,Puntos_Jornada!$A$2:$A$25,0),MATCH($A259,Puntos_Jornada!$B$1:$M$1,0)),0)</f>
        <v>0</v>
      </c>
      <c r="I259" s="15">
        <f t="shared" si="4"/>
        <v>0</v>
      </c>
    </row>
    <row r="260" spans="1:9" x14ac:dyDescent="0.25">
      <c r="A260" s="6">
        <f>Plantillas!A260</f>
        <v>11</v>
      </c>
      <c r="B260" s="13" t="str">
        <f>Plantillas!B260</f>
        <v>Alumno 19</v>
      </c>
      <c r="C260" s="6">
        <f>IFERROR(INDEX(Puntos_Jornada!$B$2:$M$25,MATCH(Plantillas!C260,Puntos_Jornada!$A$2:$A$25,0),MATCH($A260,Puntos_Jornada!$B$1:$M$1,0)),0)</f>
        <v>0</v>
      </c>
      <c r="D260" s="6">
        <f>IFERROR(INDEX(Puntos_Jornada!$B$2:$M$25,MATCH(Plantillas!D260,Puntos_Jornada!$A$2:$A$25,0),MATCH($A260,Puntos_Jornada!$B$1:$M$1,0)),0)</f>
        <v>0</v>
      </c>
      <c r="E260" s="6">
        <f>IFERROR(INDEX(Puntos_Jornada!$B$2:$M$25,MATCH(Plantillas!E260,Puntos_Jornada!$A$2:$A$25,0),MATCH($A260,Puntos_Jornada!$B$1:$M$1,0)),0)</f>
        <v>0</v>
      </c>
      <c r="F260" s="6">
        <f>IFERROR(INDEX(Puntos_Jornada!$B$2:$M$25,MATCH(Plantillas!F260,Puntos_Jornada!$A$2:$A$25,0),MATCH($A260,Puntos_Jornada!$B$1:$M$1,0)),0)</f>
        <v>0</v>
      </c>
      <c r="G260" s="6">
        <f>IFERROR(INDEX(Puntos_Jornada!$B$2:$M$25,MATCH(Plantillas!G260,Puntos_Jornada!$A$2:$A$25,0),MATCH($A260,Puntos_Jornada!$B$1:$M$1,0)),0)</f>
        <v>0</v>
      </c>
      <c r="H260" s="6">
        <f>IFERROR(INDEX(Puntos_Jornada!$B$2:$M$25,MATCH(Plantillas!H260,Puntos_Jornada!$A$2:$A$25,0),MATCH($A260,Puntos_Jornada!$B$1:$M$1,0)),0)</f>
        <v>0</v>
      </c>
      <c r="I260" s="15">
        <f t="shared" si="4"/>
        <v>0</v>
      </c>
    </row>
    <row r="261" spans="1:9" x14ac:dyDescent="0.25">
      <c r="A261" s="6">
        <f>Plantillas!A261</f>
        <v>11</v>
      </c>
      <c r="B261" s="13" t="str">
        <f>Plantillas!B261</f>
        <v>Alumno 20</v>
      </c>
      <c r="C261" s="6">
        <f>IFERROR(INDEX(Puntos_Jornada!$B$2:$M$25,MATCH(Plantillas!C261,Puntos_Jornada!$A$2:$A$25,0),MATCH($A261,Puntos_Jornada!$B$1:$M$1,0)),0)</f>
        <v>0</v>
      </c>
      <c r="D261" s="6">
        <f>IFERROR(INDEX(Puntos_Jornada!$B$2:$M$25,MATCH(Plantillas!D261,Puntos_Jornada!$A$2:$A$25,0),MATCH($A261,Puntos_Jornada!$B$1:$M$1,0)),0)</f>
        <v>0</v>
      </c>
      <c r="E261" s="6">
        <f>IFERROR(INDEX(Puntos_Jornada!$B$2:$M$25,MATCH(Plantillas!E261,Puntos_Jornada!$A$2:$A$25,0),MATCH($A261,Puntos_Jornada!$B$1:$M$1,0)),0)</f>
        <v>0</v>
      </c>
      <c r="F261" s="6">
        <f>IFERROR(INDEX(Puntos_Jornada!$B$2:$M$25,MATCH(Plantillas!F261,Puntos_Jornada!$A$2:$A$25,0),MATCH($A261,Puntos_Jornada!$B$1:$M$1,0)),0)</f>
        <v>0</v>
      </c>
      <c r="G261" s="6">
        <f>IFERROR(INDEX(Puntos_Jornada!$B$2:$M$25,MATCH(Plantillas!G261,Puntos_Jornada!$A$2:$A$25,0),MATCH($A261,Puntos_Jornada!$B$1:$M$1,0)),0)</f>
        <v>0</v>
      </c>
      <c r="H261" s="6">
        <f>IFERROR(INDEX(Puntos_Jornada!$B$2:$M$25,MATCH(Plantillas!H261,Puntos_Jornada!$A$2:$A$25,0),MATCH($A261,Puntos_Jornada!$B$1:$M$1,0)),0)</f>
        <v>0</v>
      </c>
      <c r="I261" s="15">
        <f t="shared" si="4"/>
        <v>0</v>
      </c>
    </row>
    <row r="262" spans="1:9" x14ac:dyDescent="0.25">
      <c r="A262" s="6">
        <f>Plantillas!A262</f>
        <v>11</v>
      </c>
      <c r="B262" s="13" t="str">
        <f>Plantillas!B262</f>
        <v>Alumno 21</v>
      </c>
      <c r="C262" s="6">
        <f>IFERROR(INDEX(Puntos_Jornada!$B$2:$M$25,MATCH(Plantillas!C262,Puntos_Jornada!$A$2:$A$25,0),MATCH($A262,Puntos_Jornada!$B$1:$M$1,0)),0)</f>
        <v>0</v>
      </c>
      <c r="D262" s="6">
        <f>IFERROR(INDEX(Puntos_Jornada!$B$2:$M$25,MATCH(Plantillas!D262,Puntos_Jornada!$A$2:$A$25,0),MATCH($A262,Puntos_Jornada!$B$1:$M$1,0)),0)</f>
        <v>0</v>
      </c>
      <c r="E262" s="6">
        <f>IFERROR(INDEX(Puntos_Jornada!$B$2:$M$25,MATCH(Plantillas!E262,Puntos_Jornada!$A$2:$A$25,0),MATCH($A262,Puntos_Jornada!$B$1:$M$1,0)),0)</f>
        <v>0</v>
      </c>
      <c r="F262" s="6">
        <f>IFERROR(INDEX(Puntos_Jornada!$B$2:$M$25,MATCH(Plantillas!F262,Puntos_Jornada!$A$2:$A$25,0),MATCH($A262,Puntos_Jornada!$B$1:$M$1,0)),0)</f>
        <v>0</v>
      </c>
      <c r="G262" s="6">
        <f>IFERROR(INDEX(Puntos_Jornada!$B$2:$M$25,MATCH(Plantillas!G262,Puntos_Jornada!$A$2:$A$25,0),MATCH($A262,Puntos_Jornada!$B$1:$M$1,0)),0)</f>
        <v>0</v>
      </c>
      <c r="H262" s="6">
        <f>IFERROR(INDEX(Puntos_Jornada!$B$2:$M$25,MATCH(Plantillas!H262,Puntos_Jornada!$A$2:$A$25,0),MATCH($A262,Puntos_Jornada!$B$1:$M$1,0)),0)</f>
        <v>0</v>
      </c>
      <c r="I262" s="15">
        <f t="shared" si="4"/>
        <v>0</v>
      </c>
    </row>
    <row r="263" spans="1:9" x14ac:dyDescent="0.25">
      <c r="A263" s="6">
        <f>Plantillas!A263</f>
        <v>11</v>
      </c>
      <c r="B263" s="13" t="str">
        <f>Plantillas!B263</f>
        <v>Alumno 22</v>
      </c>
      <c r="C263" s="6">
        <f>IFERROR(INDEX(Puntos_Jornada!$B$2:$M$25,MATCH(Plantillas!C263,Puntos_Jornada!$A$2:$A$25,0),MATCH($A263,Puntos_Jornada!$B$1:$M$1,0)),0)</f>
        <v>0</v>
      </c>
      <c r="D263" s="6">
        <f>IFERROR(INDEX(Puntos_Jornada!$B$2:$M$25,MATCH(Plantillas!D263,Puntos_Jornada!$A$2:$A$25,0),MATCH($A263,Puntos_Jornada!$B$1:$M$1,0)),0)</f>
        <v>0</v>
      </c>
      <c r="E263" s="6">
        <f>IFERROR(INDEX(Puntos_Jornada!$B$2:$M$25,MATCH(Plantillas!E263,Puntos_Jornada!$A$2:$A$25,0),MATCH($A263,Puntos_Jornada!$B$1:$M$1,0)),0)</f>
        <v>0</v>
      </c>
      <c r="F263" s="6">
        <f>IFERROR(INDEX(Puntos_Jornada!$B$2:$M$25,MATCH(Plantillas!F263,Puntos_Jornada!$A$2:$A$25,0),MATCH($A263,Puntos_Jornada!$B$1:$M$1,0)),0)</f>
        <v>0</v>
      </c>
      <c r="G263" s="6">
        <f>IFERROR(INDEX(Puntos_Jornada!$B$2:$M$25,MATCH(Plantillas!G263,Puntos_Jornada!$A$2:$A$25,0),MATCH($A263,Puntos_Jornada!$B$1:$M$1,0)),0)</f>
        <v>0</v>
      </c>
      <c r="H263" s="6">
        <f>IFERROR(INDEX(Puntos_Jornada!$B$2:$M$25,MATCH(Plantillas!H263,Puntos_Jornada!$A$2:$A$25,0),MATCH($A263,Puntos_Jornada!$B$1:$M$1,0)),0)</f>
        <v>0</v>
      </c>
      <c r="I263" s="15">
        <f t="shared" si="4"/>
        <v>0</v>
      </c>
    </row>
    <row r="264" spans="1:9" x14ac:dyDescent="0.25">
      <c r="A264" s="6">
        <f>Plantillas!A264</f>
        <v>11</v>
      </c>
      <c r="B264" s="13" t="str">
        <f>Plantillas!B264</f>
        <v>Alumno 23</v>
      </c>
      <c r="C264" s="6">
        <f>IFERROR(INDEX(Puntos_Jornada!$B$2:$M$25,MATCH(Plantillas!C264,Puntos_Jornada!$A$2:$A$25,0),MATCH($A264,Puntos_Jornada!$B$1:$M$1,0)),0)</f>
        <v>0</v>
      </c>
      <c r="D264" s="6">
        <f>IFERROR(INDEX(Puntos_Jornada!$B$2:$M$25,MATCH(Plantillas!D264,Puntos_Jornada!$A$2:$A$25,0),MATCH($A264,Puntos_Jornada!$B$1:$M$1,0)),0)</f>
        <v>0</v>
      </c>
      <c r="E264" s="6">
        <f>IFERROR(INDEX(Puntos_Jornada!$B$2:$M$25,MATCH(Plantillas!E264,Puntos_Jornada!$A$2:$A$25,0),MATCH($A264,Puntos_Jornada!$B$1:$M$1,0)),0)</f>
        <v>0</v>
      </c>
      <c r="F264" s="6">
        <f>IFERROR(INDEX(Puntos_Jornada!$B$2:$M$25,MATCH(Plantillas!F264,Puntos_Jornada!$A$2:$A$25,0),MATCH($A264,Puntos_Jornada!$B$1:$M$1,0)),0)</f>
        <v>0</v>
      </c>
      <c r="G264" s="6">
        <f>IFERROR(INDEX(Puntos_Jornada!$B$2:$M$25,MATCH(Plantillas!G264,Puntos_Jornada!$A$2:$A$25,0),MATCH($A264,Puntos_Jornada!$B$1:$M$1,0)),0)</f>
        <v>0</v>
      </c>
      <c r="H264" s="6">
        <f>IFERROR(INDEX(Puntos_Jornada!$B$2:$M$25,MATCH(Plantillas!H264,Puntos_Jornada!$A$2:$A$25,0),MATCH($A264,Puntos_Jornada!$B$1:$M$1,0)),0)</f>
        <v>0</v>
      </c>
      <c r="I264" s="15">
        <f t="shared" si="4"/>
        <v>0</v>
      </c>
    </row>
    <row r="265" spans="1:9" x14ac:dyDescent="0.25">
      <c r="A265" s="6">
        <f>Plantillas!A265</f>
        <v>11</v>
      </c>
      <c r="B265" s="13" t="str">
        <f>Plantillas!B265</f>
        <v>Alumno 24</v>
      </c>
      <c r="C265" s="6">
        <f>IFERROR(INDEX(Puntos_Jornada!$B$2:$M$25,MATCH(Plantillas!C265,Puntos_Jornada!$A$2:$A$25,0),MATCH($A265,Puntos_Jornada!$B$1:$M$1,0)),0)</f>
        <v>0</v>
      </c>
      <c r="D265" s="6">
        <f>IFERROR(INDEX(Puntos_Jornada!$B$2:$M$25,MATCH(Plantillas!D265,Puntos_Jornada!$A$2:$A$25,0),MATCH($A265,Puntos_Jornada!$B$1:$M$1,0)),0)</f>
        <v>0</v>
      </c>
      <c r="E265" s="6">
        <f>IFERROR(INDEX(Puntos_Jornada!$B$2:$M$25,MATCH(Plantillas!E265,Puntos_Jornada!$A$2:$A$25,0),MATCH($A265,Puntos_Jornada!$B$1:$M$1,0)),0)</f>
        <v>0</v>
      </c>
      <c r="F265" s="6">
        <f>IFERROR(INDEX(Puntos_Jornada!$B$2:$M$25,MATCH(Plantillas!F265,Puntos_Jornada!$A$2:$A$25,0),MATCH($A265,Puntos_Jornada!$B$1:$M$1,0)),0)</f>
        <v>0</v>
      </c>
      <c r="G265" s="6">
        <f>IFERROR(INDEX(Puntos_Jornada!$B$2:$M$25,MATCH(Plantillas!G265,Puntos_Jornada!$A$2:$A$25,0),MATCH($A265,Puntos_Jornada!$B$1:$M$1,0)),0)</f>
        <v>0</v>
      </c>
      <c r="H265" s="6">
        <f>IFERROR(INDEX(Puntos_Jornada!$B$2:$M$25,MATCH(Plantillas!H265,Puntos_Jornada!$A$2:$A$25,0),MATCH($A265,Puntos_Jornada!$B$1:$M$1,0)),0)</f>
        <v>0</v>
      </c>
      <c r="I265" s="15">
        <f t="shared" si="4"/>
        <v>0</v>
      </c>
    </row>
    <row r="266" spans="1:9" x14ac:dyDescent="0.25">
      <c r="A266" s="6">
        <f>Plantillas!A266</f>
        <v>12</v>
      </c>
      <c r="B266" s="13" t="str">
        <f>Plantillas!B266</f>
        <v>Alumno 1</v>
      </c>
      <c r="C266" s="6">
        <f>IFERROR(INDEX(Puntos_Jornada!$B$2:$M$25,MATCH(Plantillas!C266,Puntos_Jornada!$A$2:$A$25,0),MATCH($A266,Puntos_Jornada!$B$1:$M$1,0)),0)</f>
        <v>0</v>
      </c>
      <c r="D266" s="6">
        <f>IFERROR(INDEX(Puntos_Jornada!$B$2:$M$25,MATCH(Plantillas!D266,Puntos_Jornada!$A$2:$A$25,0),MATCH($A266,Puntos_Jornada!$B$1:$M$1,0)),0)</f>
        <v>0</v>
      </c>
      <c r="E266" s="6">
        <f>IFERROR(INDEX(Puntos_Jornada!$B$2:$M$25,MATCH(Plantillas!E266,Puntos_Jornada!$A$2:$A$25,0),MATCH($A266,Puntos_Jornada!$B$1:$M$1,0)),0)</f>
        <v>0</v>
      </c>
      <c r="F266" s="6">
        <f>IFERROR(INDEX(Puntos_Jornada!$B$2:$M$25,MATCH(Plantillas!F266,Puntos_Jornada!$A$2:$A$25,0),MATCH($A266,Puntos_Jornada!$B$1:$M$1,0)),0)</f>
        <v>0</v>
      </c>
      <c r="G266" s="6">
        <f>IFERROR(INDEX(Puntos_Jornada!$B$2:$M$25,MATCH(Plantillas!G266,Puntos_Jornada!$A$2:$A$25,0),MATCH($A266,Puntos_Jornada!$B$1:$M$1,0)),0)</f>
        <v>0</v>
      </c>
      <c r="H266" s="6">
        <f>IFERROR(INDEX(Puntos_Jornada!$B$2:$M$25,MATCH(Plantillas!H266,Puntos_Jornada!$A$2:$A$25,0),MATCH($A266,Puntos_Jornada!$B$1:$M$1,0)),0)</f>
        <v>0</v>
      </c>
      <c r="I266" s="15">
        <f t="shared" si="4"/>
        <v>0</v>
      </c>
    </row>
    <row r="267" spans="1:9" x14ac:dyDescent="0.25">
      <c r="A267" s="6">
        <f>Plantillas!A267</f>
        <v>12</v>
      </c>
      <c r="B267" s="13" t="str">
        <f>Plantillas!B267</f>
        <v>Alumno 2</v>
      </c>
      <c r="C267" s="6">
        <f>IFERROR(INDEX(Puntos_Jornada!$B$2:$M$25,MATCH(Plantillas!C267,Puntos_Jornada!$A$2:$A$25,0),MATCH($A267,Puntos_Jornada!$B$1:$M$1,0)),0)</f>
        <v>0</v>
      </c>
      <c r="D267" s="6">
        <f>IFERROR(INDEX(Puntos_Jornada!$B$2:$M$25,MATCH(Plantillas!D267,Puntos_Jornada!$A$2:$A$25,0),MATCH($A267,Puntos_Jornada!$B$1:$M$1,0)),0)</f>
        <v>0</v>
      </c>
      <c r="E267" s="6">
        <f>IFERROR(INDEX(Puntos_Jornada!$B$2:$M$25,MATCH(Plantillas!E267,Puntos_Jornada!$A$2:$A$25,0),MATCH($A267,Puntos_Jornada!$B$1:$M$1,0)),0)</f>
        <v>0</v>
      </c>
      <c r="F267" s="6">
        <f>IFERROR(INDEX(Puntos_Jornada!$B$2:$M$25,MATCH(Plantillas!F267,Puntos_Jornada!$A$2:$A$25,0),MATCH($A267,Puntos_Jornada!$B$1:$M$1,0)),0)</f>
        <v>0</v>
      </c>
      <c r="G267" s="6">
        <f>IFERROR(INDEX(Puntos_Jornada!$B$2:$M$25,MATCH(Plantillas!G267,Puntos_Jornada!$A$2:$A$25,0),MATCH($A267,Puntos_Jornada!$B$1:$M$1,0)),0)</f>
        <v>0</v>
      </c>
      <c r="H267" s="6">
        <f>IFERROR(INDEX(Puntos_Jornada!$B$2:$M$25,MATCH(Plantillas!H267,Puntos_Jornada!$A$2:$A$25,0),MATCH($A267,Puntos_Jornada!$B$1:$M$1,0)),0)</f>
        <v>0</v>
      </c>
      <c r="I267" s="15">
        <f t="shared" si="4"/>
        <v>0</v>
      </c>
    </row>
    <row r="268" spans="1:9" x14ac:dyDescent="0.25">
      <c r="A268" s="6">
        <f>Plantillas!A268</f>
        <v>12</v>
      </c>
      <c r="B268" s="13" t="str">
        <f>Plantillas!B268</f>
        <v>Alumno 3</v>
      </c>
      <c r="C268" s="6">
        <f>IFERROR(INDEX(Puntos_Jornada!$B$2:$M$25,MATCH(Plantillas!C268,Puntos_Jornada!$A$2:$A$25,0),MATCH($A268,Puntos_Jornada!$B$1:$M$1,0)),0)</f>
        <v>0</v>
      </c>
      <c r="D268" s="6">
        <f>IFERROR(INDEX(Puntos_Jornada!$B$2:$M$25,MATCH(Plantillas!D268,Puntos_Jornada!$A$2:$A$25,0),MATCH($A268,Puntos_Jornada!$B$1:$M$1,0)),0)</f>
        <v>0</v>
      </c>
      <c r="E268" s="6">
        <f>IFERROR(INDEX(Puntos_Jornada!$B$2:$M$25,MATCH(Plantillas!E268,Puntos_Jornada!$A$2:$A$25,0),MATCH($A268,Puntos_Jornada!$B$1:$M$1,0)),0)</f>
        <v>0</v>
      </c>
      <c r="F268" s="6">
        <f>IFERROR(INDEX(Puntos_Jornada!$B$2:$M$25,MATCH(Plantillas!F268,Puntos_Jornada!$A$2:$A$25,0),MATCH($A268,Puntos_Jornada!$B$1:$M$1,0)),0)</f>
        <v>0</v>
      </c>
      <c r="G268" s="6">
        <f>IFERROR(INDEX(Puntos_Jornada!$B$2:$M$25,MATCH(Plantillas!G268,Puntos_Jornada!$A$2:$A$25,0),MATCH($A268,Puntos_Jornada!$B$1:$M$1,0)),0)</f>
        <v>0</v>
      </c>
      <c r="H268" s="6">
        <f>IFERROR(INDEX(Puntos_Jornada!$B$2:$M$25,MATCH(Plantillas!H268,Puntos_Jornada!$A$2:$A$25,0),MATCH($A268,Puntos_Jornada!$B$1:$M$1,0)),0)</f>
        <v>0</v>
      </c>
      <c r="I268" s="15">
        <f t="shared" si="4"/>
        <v>0</v>
      </c>
    </row>
    <row r="269" spans="1:9" x14ac:dyDescent="0.25">
      <c r="A269" s="6">
        <f>Plantillas!A269</f>
        <v>12</v>
      </c>
      <c r="B269" s="13" t="str">
        <f>Plantillas!B269</f>
        <v>Alumno 4</v>
      </c>
      <c r="C269" s="6">
        <f>IFERROR(INDEX(Puntos_Jornada!$B$2:$M$25,MATCH(Plantillas!C269,Puntos_Jornada!$A$2:$A$25,0),MATCH($A269,Puntos_Jornada!$B$1:$M$1,0)),0)</f>
        <v>0</v>
      </c>
      <c r="D269" s="6">
        <f>IFERROR(INDEX(Puntos_Jornada!$B$2:$M$25,MATCH(Plantillas!D269,Puntos_Jornada!$A$2:$A$25,0),MATCH($A269,Puntos_Jornada!$B$1:$M$1,0)),0)</f>
        <v>0</v>
      </c>
      <c r="E269" s="6">
        <f>IFERROR(INDEX(Puntos_Jornada!$B$2:$M$25,MATCH(Plantillas!E269,Puntos_Jornada!$A$2:$A$25,0),MATCH($A269,Puntos_Jornada!$B$1:$M$1,0)),0)</f>
        <v>0</v>
      </c>
      <c r="F269" s="6">
        <f>IFERROR(INDEX(Puntos_Jornada!$B$2:$M$25,MATCH(Plantillas!F269,Puntos_Jornada!$A$2:$A$25,0),MATCH($A269,Puntos_Jornada!$B$1:$M$1,0)),0)</f>
        <v>0</v>
      </c>
      <c r="G269" s="6">
        <f>IFERROR(INDEX(Puntos_Jornada!$B$2:$M$25,MATCH(Plantillas!G269,Puntos_Jornada!$A$2:$A$25,0),MATCH($A269,Puntos_Jornada!$B$1:$M$1,0)),0)</f>
        <v>0</v>
      </c>
      <c r="H269" s="6">
        <f>IFERROR(INDEX(Puntos_Jornada!$B$2:$M$25,MATCH(Plantillas!H269,Puntos_Jornada!$A$2:$A$25,0),MATCH($A269,Puntos_Jornada!$B$1:$M$1,0)),0)</f>
        <v>0</v>
      </c>
      <c r="I269" s="15">
        <f t="shared" si="4"/>
        <v>0</v>
      </c>
    </row>
    <row r="270" spans="1:9" x14ac:dyDescent="0.25">
      <c r="A270" s="6">
        <f>Plantillas!A270</f>
        <v>12</v>
      </c>
      <c r="B270" s="13" t="str">
        <f>Plantillas!B270</f>
        <v>Alumno 5</v>
      </c>
      <c r="C270" s="6">
        <f>IFERROR(INDEX(Puntos_Jornada!$B$2:$M$25,MATCH(Plantillas!C270,Puntos_Jornada!$A$2:$A$25,0),MATCH($A270,Puntos_Jornada!$B$1:$M$1,0)),0)</f>
        <v>0</v>
      </c>
      <c r="D270" s="6">
        <f>IFERROR(INDEX(Puntos_Jornada!$B$2:$M$25,MATCH(Plantillas!D270,Puntos_Jornada!$A$2:$A$25,0),MATCH($A270,Puntos_Jornada!$B$1:$M$1,0)),0)</f>
        <v>0</v>
      </c>
      <c r="E270" s="6">
        <f>IFERROR(INDEX(Puntos_Jornada!$B$2:$M$25,MATCH(Plantillas!E270,Puntos_Jornada!$A$2:$A$25,0),MATCH($A270,Puntos_Jornada!$B$1:$M$1,0)),0)</f>
        <v>0</v>
      </c>
      <c r="F270" s="6">
        <f>IFERROR(INDEX(Puntos_Jornada!$B$2:$M$25,MATCH(Plantillas!F270,Puntos_Jornada!$A$2:$A$25,0),MATCH($A270,Puntos_Jornada!$B$1:$M$1,0)),0)</f>
        <v>0</v>
      </c>
      <c r="G270" s="6">
        <f>IFERROR(INDEX(Puntos_Jornada!$B$2:$M$25,MATCH(Plantillas!G270,Puntos_Jornada!$A$2:$A$25,0),MATCH($A270,Puntos_Jornada!$B$1:$M$1,0)),0)</f>
        <v>0</v>
      </c>
      <c r="H270" s="6">
        <f>IFERROR(INDEX(Puntos_Jornada!$B$2:$M$25,MATCH(Plantillas!H270,Puntos_Jornada!$A$2:$A$25,0),MATCH($A270,Puntos_Jornada!$B$1:$M$1,0)),0)</f>
        <v>0</v>
      </c>
      <c r="I270" s="15">
        <f t="shared" si="4"/>
        <v>0</v>
      </c>
    </row>
    <row r="271" spans="1:9" x14ac:dyDescent="0.25">
      <c r="A271" s="6">
        <f>Plantillas!A271</f>
        <v>12</v>
      </c>
      <c r="B271" s="13" t="str">
        <f>Plantillas!B271</f>
        <v>Alumno 6</v>
      </c>
      <c r="C271" s="6">
        <f>IFERROR(INDEX(Puntos_Jornada!$B$2:$M$25,MATCH(Plantillas!C271,Puntos_Jornada!$A$2:$A$25,0),MATCH($A271,Puntos_Jornada!$B$1:$M$1,0)),0)</f>
        <v>0</v>
      </c>
      <c r="D271" s="6">
        <f>IFERROR(INDEX(Puntos_Jornada!$B$2:$M$25,MATCH(Plantillas!D271,Puntos_Jornada!$A$2:$A$25,0),MATCH($A271,Puntos_Jornada!$B$1:$M$1,0)),0)</f>
        <v>0</v>
      </c>
      <c r="E271" s="6">
        <f>IFERROR(INDEX(Puntos_Jornada!$B$2:$M$25,MATCH(Plantillas!E271,Puntos_Jornada!$A$2:$A$25,0),MATCH($A271,Puntos_Jornada!$B$1:$M$1,0)),0)</f>
        <v>0</v>
      </c>
      <c r="F271" s="6">
        <f>IFERROR(INDEX(Puntos_Jornada!$B$2:$M$25,MATCH(Plantillas!F271,Puntos_Jornada!$A$2:$A$25,0),MATCH($A271,Puntos_Jornada!$B$1:$M$1,0)),0)</f>
        <v>0</v>
      </c>
      <c r="G271" s="6">
        <f>IFERROR(INDEX(Puntos_Jornada!$B$2:$M$25,MATCH(Plantillas!G271,Puntos_Jornada!$A$2:$A$25,0),MATCH($A271,Puntos_Jornada!$B$1:$M$1,0)),0)</f>
        <v>0</v>
      </c>
      <c r="H271" s="6">
        <f>IFERROR(INDEX(Puntos_Jornada!$B$2:$M$25,MATCH(Plantillas!H271,Puntos_Jornada!$A$2:$A$25,0),MATCH($A271,Puntos_Jornada!$B$1:$M$1,0)),0)</f>
        <v>0</v>
      </c>
      <c r="I271" s="15">
        <f t="shared" si="4"/>
        <v>0</v>
      </c>
    </row>
    <row r="272" spans="1:9" x14ac:dyDescent="0.25">
      <c r="A272" s="6">
        <f>Plantillas!A272</f>
        <v>12</v>
      </c>
      <c r="B272" s="13" t="str">
        <f>Plantillas!B272</f>
        <v>Alumno 7</v>
      </c>
      <c r="C272" s="6">
        <f>IFERROR(INDEX(Puntos_Jornada!$B$2:$M$25,MATCH(Plantillas!C272,Puntos_Jornada!$A$2:$A$25,0),MATCH($A272,Puntos_Jornada!$B$1:$M$1,0)),0)</f>
        <v>0</v>
      </c>
      <c r="D272" s="6">
        <f>IFERROR(INDEX(Puntos_Jornada!$B$2:$M$25,MATCH(Plantillas!D272,Puntos_Jornada!$A$2:$A$25,0),MATCH($A272,Puntos_Jornada!$B$1:$M$1,0)),0)</f>
        <v>0</v>
      </c>
      <c r="E272" s="6">
        <f>IFERROR(INDEX(Puntos_Jornada!$B$2:$M$25,MATCH(Plantillas!E272,Puntos_Jornada!$A$2:$A$25,0),MATCH($A272,Puntos_Jornada!$B$1:$M$1,0)),0)</f>
        <v>0</v>
      </c>
      <c r="F272" s="6">
        <f>IFERROR(INDEX(Puntos_Jornada!$B$2:$M$25,MATCH(Plantillas!F272,Puntos_Jornada!$A$2:$A$25,0),MATCH($A272,Puntos_Jornada!$B$1:$M$1,0)),0)</f>
        <v>0</v>
      </c>
      <c r="G272" s="6">
        <f>IFERROR(INDEX(Puntos_Jornada!$B$2:$M$25,MATCH(Plantillas!G272,Puntos_Jornada!$A$2:$A$25,0),MATCH($A272,Puntos_Jornada!$B$1:$M$1,0)),0)</f>
        <v>0</v>
      </c>
      <c r="H272" s="6">
        <f>IFERROR(INDEX(Puntos_Jornada!$B$2:$M$25,MATCH(Plantillas!H272,Puntos_Jornada!$A$2:$A$25,0),MATCH($A272,Puntos_Jornada!$B$1:$M$1,0)),0)</f>
        <v>0</v>
      </c>
      <c r="I272" s="15">
        <f t="shared" si="4"/>
        <v>0</v>
      </c>
    </row>
    <row r="273" spans="1:9" x14ac:dyDescent="0.25">
      <c r="A273" s="6">
        <f>Plantillas!A273</f>
        <v>12</v>
      </c>
      <c r="B273" s="13" t="str">
        <f>Plantillas!B273</f>
        <v>Alumno 8</v>
      </c>
      <c r="C273" s="6">
        <f>IFERROR(INDEX(Puntos_Jornada!$B$2:$M$25,MATCH(Plantillas!C273,Puntos_Jornada!$A$2:$A$25,0),MATCH($A273,Puntos_Jornada!$B$1:$M$1,0)),0)</f>
        <v>0</v>
      </c>
      <c r="D273" s="6">
        <f>IFERROR(INDEX(Puntos_Jornada!$B$2:$M$25,MATCH(Plantillas!D273,Puntos_Jornada!$A$2:$A$25,0),MATCH($A273,Puntos_Jornada!$B$1:$M$1,0)),0)</f>
        <v>0</v>
      </c>
      <c r="E273" s="6">
        <f>IFERROR(INDEX(Puntos_Jornada!$B$2:$M$25,MATCH(Plantillas!E273,Puntos_Jornada!$A$2:$A$25,0),MATCH($A273,Puntos_Jornada!$B$1:$M$1,0)),0)</f>
        <v>0</v>
      </c>
      <c r="F273" s="6">
        <f>IFERROR(INDEX(Puntos_Jornada!$B$2:$M$25,MATCH(Plantillas!F273,Puntos_Jornada!$A$2:$A$25,0),MATCH($A273,Puntos_Jornada!$B$1:$M$1,0)),0)</f>
        <v>0</v>
      </c>
      <c r="G273" s="6">
        <f>IFERROR(INDEX(Puntos_Jornada!$B$2:$M$25,MATCH(Plantillas!G273,Puntos_Jornada!$A$2:$A$25,0),MATCH($A273,Puntos_Jornada!$B$1:$M$1,0)),0)</f>
        <v>0</v>
      </c>
      <c r="H273" s="6">
        <f>IFERROR(INDEX(Puntos_Jornada!$B$2:$M$25,MATCH(Plantillas!H273,Puntos_Jornada!$A$2:$A$25,0),MATCH($A273,Puntos_Jornada!$B$1:$M$1,0)),0)</f>
        <v>0</v>
      </c>
      <c r="I273" s="15">
        <f t="shared" si="4"/>
        <v>0</v>
      </c>
    </row>
    <row r="274" spans="1:9" x14ac:dyDescent="0.25">
      <c r="A274" s="6">
        <f>Plantillas!A274</f>
        <v>12</v>
      </c>
      <c r="B274" s="13" t="str">
        <f>Plantillas!B274</f>
        <v>Alumno 9</v>
      </c>
      <c r="C274" s="6">
        <f>IFERROR(INDEX(Puntos_Jornada!$B$2:$M$25,MATCH(Plantillas!C274,Puntos_Jornada!$A$2:$A$25,0),MATCH($A274,Puntos_Jornada!$B$1:$M$1,0)),0)</f>
        <v>0</v>
      </c>
      <c r="D274" s="6">
        <f>IFERROR(INDEX(Puntos_Jornada!$B$2:$M$25,MATCH(Plantillas!D274,Puntos_Jornada!$A$2:$A$25,0),MATCH($A274,Puntos_Jornada!$B$1:$M$1,0)),0)</f>
        <v>0</v>
      </c>
      <c r="E274" s="6">
        <f>IFERROR(INDEX(Puntos_Jornada!$B$2:$M$25,MATCH(Plantillas!E274,Puntos_Jornada!$A$2:$A$25,0),MATCH($A274,Puntos_Jornada!$B$1:$M$1,0)),0)</f>
        <v>0</v>
      </c>
      <c r="F274" s="6">
        <f>IFERROR(INDEX(Puntos_Jornada!$B$2:$M$25,MATCH(Plantillas!F274,Puntos_Jornada!$A$2:$A$25,0),MATCH($A274,Puntos_Jornada!$B$1:$M$1,0)),0)</f>
        <v>0</v>
      </c>
      <c r="G274" s="6">
        <f>IFERROR(INDEX(Puntos_Jornada!$B$2:$M$25,MATCH(Plantillas!G274,Puntos_Jornada!$A$2:$A$25,0),MATCH($A274,Puntos_Jornada!$B$1:$M$1,0)),0)</f>
        <v>0</v>
      </c>
      <c r="H274" s="6">
        <f>IFERROR(INDEX(Puntos_Jornada!$B$2:$M$25,MATCH(Plantillas!H274,Puntos_Jornada!$A$2:$A$25,0),MATCH($A274,Puntos_Jornada!$B$1:$M$1,0)),0)</f>
        <v>0</v>
      </c>
      <c r="I274" s="15">
        <f t="shared" si="4"/>
        <v>0</v>
      </c>
    </row>
    <row r="275" spans="1:9" x14ac:dyDescent="0.25">
      <c r="A275" s="6">
        <f>Plantillas!A275</f>
        <v>12</v>
      </c>
      <c r="B275" s="13" t="str">
        <f>Plantillas!B275</f>
        <v>Alumno 10</v>
      </c>
      <c r="C275" s="6">
        <f>IFERROR(INDEX(Puntos_Jornada!$B$2:$M$25,MATCH(Plantillas!C275,Puntos_Jornada!$A$2:$A$25,0),MATCH($A275,Puntos_Jornada!$B$1:$M$1,0)),0)</f>
        <v>0</v>
      </c>
      <c r="D275" s="6">
        <f>IFERROR(INDEX(Puntos_Jornada!$B$2:$M$25,MATCH(Plantillas!D275,Puntos_Jornada!$A$2:$A$25,0),MATCH($A275,Puntos_Jornada!$B$1:$M$1,0)),0)</f>
        <v>0</v>
      </c>
      <c r="E275" s="6">
        <f>IFERROR(INDEX(Puntos_Jornada!$B$2:$M$25,MATCH(Plantillas!E275,Puntos_Jornada!$A$2:$A$25,0),MATCH($A275,Puntos_Jornada!$B$1:$M$1,0)),0)</f>
        <v>0</v>
      </c>
      <c r="F275" s="6">
        <f>IFERROR(INDEX(Puntos_Jornada!$B$2:$M$25,MATCH(Plantillas!F275,Puntos_Jornada!$A$2:$A$25,0),MATCH($A275,Puntos_Jornada!$B$1:$M$1,0)),0)</f>
        <v>0</v>
      </c>
      <c r="G275" s="6">
        <f>IFERROR(INDEX(Puntos_Jornada!$B$2:$M$25,MATCH(Plantillas!G275,Puntos_Jornada!$A$2:$A$25,0),MATCH($A275,Puntos_Jornada!$B$1:$M$1,0)),0)</f>
        <v>0</v>
      </c>
      <c r="H275" s="6">
        <f>IFERROR(INDEX(Puntos_Jornada!$B$2:$M$25,MATCH(Plantillas!H275,Puntos_Jornada!$A$2:$A$25,0),MATCH($A275,Puntos_Jornada!$B$1:$M$1,0)),0)</f>
        <v>0</v>
      </c>
      <c r="I275" s="15">
        <f t="shared" si="4"/>
        <v>0</v>
      </c>
    </row>
    <row r="276" spans="1:9" x14ac:dyDescent="0.25">
      <c r="A276" s="6">
        <f>Plantillas!A276</f>
        <v>12</v>
      </c>
      <c r="B276" s="13" t="str">
        <f>Plantillas!B276</f>
        <v>Alumno 11</v>
      </c>
      <c r="C276" s="6">
        <f>IFERROR(INDEX(Puntos_Jornada!$B$2:$M$25,MATCH(Plantillas!C276,Puntos_Jornada!$A$2:$A$25,0),MATCH($A276,Puntos_Jornada!$B$1:$M$1,0)),0)</f>
        <v>0</v>
      </c>
      <c r="D276" s="6">
        <f>IFERROR(INDEX(Puntos_Jornada!$B$2:$M$25,MATCH(Plantillas!D276,Puntos_Jornada!$A$2:$A$25,0),MATCH($A276,Puntos_Jornada!$B$1:$M$1,0)),0)</f>
        <v>0</v>
      </c>
      <c r="E276" s="6">
        <f>IFERROR(INDEX(Puntos_Jornada!$B$2:$M$25,MATCH(Plantillas!E276,Puntos_Jornada!$A$2:$A$25,0),MATCH($A276,Puntos_Jornada!$B$1:$M$1,0)),0)</f>
        <v>0</v>
      </c>
      <c r="F276" s="6">
        <f>IFERROR(INDEX(Puntos_Jornada!$B$2:$M$25,MATCH(Plantillas!F276,Puntos_Jornada!$A$2:$A$25,0),MATCH($A276,Puntos_Jornada!$B$1:$M$1,0)),0)</f>
        <v>0</v>
      </c>
      <c r="G276" s="6">
        <f>IFERROR(INDEX(Puntos_Jornada!$B$2:$M$25,MATCH(Plantillas!G276,Puntos_Jornada!$A$2:$A$25,0),MATCH($A276,Puntos_Jornada!$B$1:$M$1,0)),0)</f>
        <v>0</v>
      </c>
      <c r="H276" s="6">
        <f>IFERROR(INDEX(Puntos_Jornada!$B$2:$M$25,MATCH(Plantillas!H276,Puntos_Jornada!$A$2:$A$25,0),MATCH($A276,Puntos_Jornada!$B$1:$M$1,0)),0)</f>
        <v>0</v>
      </c>
      <c r="I276" s="15">
        <f t="shared" si="4"/>
        <v>0</v>
      </c>
    </row>
    <row r="277" spans="1:9" x14ac:dyDescent="0.25">
      <c r="A277" s="6">
        <f>Plantillas!A277</f>
        <v>12</v>
      </c>
      <c r="B277" s="13" t="str">
        <f>Plantillas!B277</f>
        <v>Alumno 12</v>
      </c>
      <c r="C277" s="6">
        <f>IFERROR(INDEX(Puntos_Jornada!$B$2:$M$25,MATCH(Plantillas!C277,Puntos_Jornada!$A$2:$A$25,0),MATCH($A277,Puntos_Jornada!$B$1:$M$1,0)),0)</f>
        <v>0</v>
      </c>
      <c r="D277" s="6">
        <f>IFERROR(INDEX(Puntos_Jornada!$B$2:$M$25,MATCH(Plantillas!D277,Puntos_Jornada!$A$2:$A$25,0),MATCH($A277,Puntos_Jornada!$B$1:$M$1,0)),0)</f>
        <v>0</v>
      </c>
      <c r="E277" s="6">
        <f>IFERROR(INDEX(Puntos_Jornada!$B$2:$M$25,MATCH(Plantillas!E277,Puntos_Jornada!$A$2:$A$25,0),MATCH($A277,Puntos_Jornada!$B$1:$M$1,0)),0)</f>
        <v>0</v>
      </c>
      <c r="F277" s="6">
        <f>IFERROR(INDEX(Puntos_Jornada!$B$2:$M$25,MATCH(Plantillas!F277,Puntos_Jornada!$A$2:$A$25,0),MATCH($A277,Puntos_Jornada!$B$1:$M$1,0)),0)</f>
        <v>0</v>
      </c>
      <c r="G277" s="6">
        <f>IFERROR(INDEX(Puntos_Jornada!$B$2:$M$25,MATCH(Plantillas!G277,Puntos_Jornada!$A$2:$A$25,0),MATCH($A277,Puntos_Jornada!$B$1:$M$1,0)),0)</f>
        <v>0</v>
      </c>
      <c r="H277" s="6">
        <f>IFERROR(INDEX(Puntos_Jornada!$B$2:$M$25,MATCH(Plantillas!H277,Puntos_Jornada!$A$2:$A$25,0),MATCH($A277,Puntos_Jornada!$B$1:$M$1,0)),0)</f>
        <v>0</v>
      </c>
      <c r="I277" s="15">
        <f t="shared" si="4"/>
        <v>0</v>
      </c>
    </row>
    <row r="278" spans="1:9" x14ac:dyDescent="0.25">
      <c r="A278" s="6">
        <f>Plantillas!A278</f>
        <v>12</v>
      </c>
      <c r="B278" s="13" t="str">
        <f>Plantillas!B278</f>
        <v>Alumno 13</v>
      </c>
      <c r="C278" s="6">
        <f>IFERROR(INDEX(Puntos_Jornada!$B$2:$M$25,MATCH(Plantillas!C278,Puntos_Jornada!$A$2:$A$25,0),MATCH($A278,Puntos_Jornada!$B$1:$M$1,0)),0)</f>
        <v>0</v>
      </c>
      <c r="D278" s="6">
        <f>IFERROR(INDEX(Puntos_Jornada!$B$2:$M$25,MATCH(Plantillas!D278,Puntos_Jornada!$A$2:$A$25,0),MATCH($A278,Puntos_Jornada!$B$1:$M$1,0)),0)</f>
        <v>0</v>
      </c>
      <c r="E278" s="6">
        <f>IFERROR(INDEX(Puntos_Jornada!$B$2:$M$25,MATCH(Plantillas!E278,Puntos_Jornada!$A$2:$A$25,0),MATCH($A278,Puntos_Jornada!$B$1:$M$1,0)),0)</f>
        <v>0</v>
      </c>
      <c r="F278" s="6">
        <f>IFERROR(INDEX(Puntos_Jornada!$B$2:$M$25,MATCH(Plantillas!F278,Puntos_Jornada!$A$2:$A$25,0),MATCH($A278,Puntos_Jornada!$B$1:$M$1,0)),0)</f>
        <v>0</v>
      </c>
      <c r="G278" s="6">
        <f>IFERROR(INDEX(Puntos_Jornada!$B$2:$M$25,MATCH(Plantillas!G278,Puntos_Jornada!$A$2:$A$25,0),MATCH($A278,Puntos_Jornada!$B$1:$M$1,0)),0)</f>
        <v>0</v>
      </c>
      <c r="H278" s="6">
        <f>IFERROR(INDEX(Puntos_Jornada!$B$2:$M$25,MATCH(Plantillas!H278,Puntos_Jornada!$A$2:$A$25,0),MATCH($A278,Puntos_Jornada!$B$1:$M$1,0)),0)</f>
        <v>0</v>
      </c>
      <c r="I278" s="15">
        <f t="shared" si="4"/>
        <v>0</v>
      </c>
    </row>
    <row r="279" spans="1:9" x14ac:dyDescent="0.25">
      <c r="A279" s="6">
        <f>Plantillas!A279</f>
        <v>12</v>
      </c>
      <c r="B279" s="13" t="str">
        <f>Plantillas!B279</f>
        <v>Alumno 14</v>
      </c>
      <c r="C279" s="6">
        <f>IFERROR(INDEX(Puntos_Jornada!$B$2:$M$25,MATCH(Plantillas!C279,Puntos_Jornada!$A$2:$A$25,0),MATCH($A279,Puntos_Jornada!$B$1:$M$1,0)),0)</f>
        <v>0</v>
      </c>
      <c r="D279" s="6">
        <f>IFERROR(INDEX(Puntos_Jornada!$B$2:$M$25,MATCH(Plantillas!D279,Puntos_Jornada!$A$2:$A$25,0),MATCH($A279,Puntos_Jornada!$B$1:$M$1,0)),0)</f>
        <v>0</v>
      </c>
      <c r="E279" s="6">
        <f>IFERROR(INDEX(Puntos_Jornada!$B$2:$M$25,MATCH(Plantillas!E279,Puntos_Jornada!$A$2:$A$25,0),MATCH($A279,Puntos_Jornada!$B$1:$M$1,0)),0)</f>
        <v>0</v>
      </c>
      <c r="F279" s="6">
        <f>IFERROR(INDEX(Puntos_Jornada!$B$2:$M$25,MATCH(Plantillas!F279,Puntos_Jornada!$A$2:$A$25,0),MATCH($A279,Puntos_Jornada!$B$1:$M$1,0)),0)</f>
        <v>0</v>
      </c>
      <c r="G279" s="6">
        <f>IFERROR(INDEX(Puntos_Jornada!$B$2:$M$25,MATCH(Plantillas!G279,Puntos_Jornada!$A$2:$A$25,0),MATCH($A279,Puntos_Jornada!$B$1:$M$1,0)),0)</f>
        <v>0</v>
      </c>
      <c r="H279" s="6">
        <f>IFERROR(INDEX(Puntos_Jornada!$B$2:$M$25,MATCH(Plantillas!H279,Puntos_Jornada!$A$2:$A$25,0),MATCH($A279,Puntos_Jornada!$B$1:$M$1,0)),0)</f>
        <v>0</v>
      </c>
      <c r="I279" s="15">
        <f t="shared" si="4"/>
        <v>0</v>
      </c>
    </row>
    <row r="280" spans="1:9" x14ac:dyDescent="0.25">
      <c r="A280" s="6">
        <f>Plantillas!A280</f>
        <v>12</v>
      </c>
      <c r="B280" s="13" t="str">
        <f>Plantillas!B280</f>
        <v>Alumno 15</v>
      </c>
      <c r="C280" s="6">
        <f>IFERROR(INDEX(Puntos_Jornada!$B$2:$M$25,MATCH(Plantillas!C280,Puntos_Jornada!$A$2:$A$25,0),MATCH($A280,Puntos_Jornada!$B$1:$M$1,0)),0)</f>
        <v>0</v>
      </c>
      <c r="D280" s="6">
        <f>IFERROR(INDEX(Puntos_Jornada!$B$2:$M$25,MATCH(Plantillas!D280,Puntos_Jornada!$A$2:$A$25,0),MATCH($A280,Puntos_Jornada!$B$1:$M$1,0)),0)</f>
        <v>0</v>
      </c>
      <c r="E280" s="6">
        <f>IFERROR(INDEX(Puntos_Jornada!$B$2:$M$25,MATCH(Plantillas!E280,Puntos_Jornada!$A$2:$A$25,0),MATCH($A280,Puntos_Jornada!$B$1:$M$1,0)),0)</f>
        <v>0</v>
      </c>
      <c r="F280" s="6">
        <f>IFERROR(INDEX(Puntos_Jornada!$B$2:$M$25,MATCH(Plantillas!F280,Puntos_Jornada!$A$2:$A$25,0),MATCH($A280,Puntos_Jornada!$B$1:$M$1,0)),0)</f>
        <v>0</v>
      </c>
      <c r="G280" s="6">
        <f>IFERROR(INDEX(Puntos_Jornada!$B$2:$M$25,MATCH(Plantillas!G280,Puntos_Jornada!$A$2:$A$25,0),MATCH($A280,Puntos_Jornada!$B$1:$M$1,0)),0)</f>
        <v>0</v>
      </c>
      <c r="H280" s="6">
        <f>IFERROR(INDEX(Puntos_Jornada!$B$2:$M$25,MATCH(Plantillas!H280,Puntos_Jornada!$A$2:$A$25,0),MATCH($A280,Puntos_Jornada!$B$1:$M$1,0)),0)</f>
        <v>0</v>
      </c>
      <c r="I280" s="15">
        <f t="shared" si="4"/>
        <v>0</v>
      </c>
    </row>
    <row r="281" spans="1:9" x14ac:dyDescent="0.25">
      <c r="A281" s="6">
        <f>Plantillas!A281</f>
        <v>12</v>
      </c>
      <c r="B281" s="13" t="str">
        <f>Plantillas!B281</f>
        <v>Alumno 16</v>
      </c>
      <c r="C281" s="6">
        <f>IFERROR(INDEX(Puntos_Jornada!$B$2:$M$25,MATCH(Plantillas!C281,Puntos_Jornada!$A$2:$A$25,0),MATCH($A281,Puntos_Jornada!$B$1:$M$1,0)),0)</f>
        <v>0</v>
      </c>
      <c r="D281" s="6">
        <f>IFERROR(INDEX(Puntos_Jornada!$B$2:$M$25,MATCH(Plantillas!D281,Puntos_Jornada!$A$2:$A$25,0),MATCH($A281,Puntos_Jornada!$B$1:$M$1,0)),0)</f>
        <v>0</v>
      </c>
      <c r="E281" s="6">
        <f>IFERROR(INDEX(Puntos_Jornada!$B$2:$M$25,MATCH(Plantillas!E281,Puntos_Jornada!$A$2:$A$25,0),MATCH($A281,Puntos_Jornada!$B$1:$M$1,0)),0)</f>
        <v>0</v>
      </c>
      <c r="F281" s="6">
        <f>IFERROR(INDEX(Puntos_Jornada!$B$2:$M$25,MATCH(Plantillas!F281,Puntos_Jornada!$A$2:$A$25,0),MATCH($A281,Puntos_Jornada!$B$1:$M$1,0)),0)</f>
        <v>0</v>
      </c>
      <c r="G281" s="6">
        <f>IFERROR(INDEX(Puntos_Jornada!$B$2:$M$25,MATCH(Plantillas!G281,Puntos_Jornada!$A$2:$A$25,0),MATCH($A281,Puntos_Jornada!$B$1:$M$1,0)),0)</f>
        <v>0</v>
      </c>
      <c r="H281" s="6">
        <f>IFERROR(INDEX(Puntos_Jornada!$B$2:$M$25,MATCH(Plantillas!H281,Puntos_Jornada!$A$2:$A$25,0),MATCH($A281,Puntos_Jornada!$B$1:$M$1,0)),0)</f>
        <v>0</v>
      </c>
      <c r="I281" s="15">
        <f t="shared" si="4"/>
        <v>0</v>
      </c>
    </row>
    <row r="282" spans="1:9" x14ac:dyDescent="0.25">
      <c r="A282" s="6">
        <f>Plantillas!A282</f>
        <v>12</v>
      </c>
      <c r="B282" s="13" t="str">
        <f>Plantillas!B282</f>
        <v>Alumno 17</v>
      </c>
      <c r="C282" s="6">
        <f>IFERROR(INDEX(Puntos_Jornada!$B$2:$M$25,MATCH(Plantillas!C282,Puntos_Jornada!$A$2:$A$25,0),MATCH($A282,Puntos_Jornada!$B$1:$M$1,0)),0)</f>
        <v>0</v>
      </c>
      <c r="D282" s="6">
        <f>IFERROR(INDEX(Puntos_Jornada!$B$2:$M$25,MATCH(Plantillas!D282,Puntos_Jornada!$A$2:$A$25,0),MATCH($A282,Puntos_Jornada!$B$1:$M$1,0)),0)</f>
        <v>0</v>
      </c>
      <c r="E282" s="6">
        <f>IFERROR(INDEX(Puntos_Jornada!$B$2:$M$25,MATCH(Plantillas!E282,Puntos_Jornada!$A$2:$A$25,0),MATCH($A282,Puntos_Jornada!$B$1:$M$1,0)),0)</f>
        <v>0</v>
      </c>
      <c r="F282" s="6">
        <f>IFERROR(INDEX(Puntos_Jornada!$B$2:$M$25,MATCH(Plantillas!F282,Puntos_Jornada!$A$2:$A$25,0),MATCH($A282,Puntos_Jornada!$B$1:$M$1,0)),0)</f>
        <v>0</v>
      </c>
      <c r="G282" s="6">
        <f>IFERROR(INDEX(Puntos_Jornada!$B$2:$M$25,MATCH(Plantillas!G282,Puntos_Jornada!$A$2:$A$25,0),MATCH($A282,Puntos_Jornada!$B$1:$M$1,0)),0)</f>
        <v>0</v>
      </c>
      <c r="H282" s="6">
        <f>IFERROR(INDEX(Puntos_Jornada!$B$2:$M$25,MATCH(Plantillas!H282,Puntos_Jornada!$A$2:$A$25,0),MATCH($A282,Puntos_Jornada!$B$1:$M$1,0)),0)</f>
        <v>0</v>
      </c>
      <c r="I282" s="15">
        <f t="shared" si="4"/>
        <v>0</v>
      </c>
    </row>
    <row r="283" spans="1:9" x14ac:dyDescent="0.25">
      <c r="A283" s="6">
        <f>Plantillas!A283</f>
        <v>12</v>
      </c>
      <c r="B283" s="13" t="str">
        <f>Plantillas!B283</f>
        <v>Alumno 18</v>
      </c>
      <c r="C283" s="6">
        <f>IFERROR(INDEX(Puntos_Jornada!$B$2:$M$25,MATCH(Plantillas!C283,Puntos_Jornada!$A$2:$A$25,0),MATCH($A283,Puntos_Jornada!$B$1:$M$1,0)),0)</f>
        <v>0</v>
      </c>
      <c r="D283" s="6">
        <f>IFERROR(INDEX(Puntos_Jornada!$B$2:$M$25,MATCH(Plantillas!D283,Puntos_Jornada!$A$2:$A$25,0),MATCH($A283,Puntos_Jornada!$B$1:$M$1,0)),0)</f>
        <v>0</v>
      </c>
      <c r="E283" s="6">
        <f>IFERROR(INDEX(Puntos_Jornada!$B$2:$M$25,MATCH(Plantillas!E283,Puntos_Jornada!$A$2:$A$25,0),MATCH($A283,Puntos_Jornada!$B$1:$M$1,0)),0)</f>
        <v>0</v>
      </c>
      <c r="F283" s="6">
        <f>IFERROR(INDEX(Puntos_Jornada!$B$2:$M$25,MATCH(Plantillas!F283,Puntos_Jornada!$A$2:$A$25,0),MATCH($A283,Puntos_Jornada!$B$1:$M$1,0)),0)</f>
        <v>0</v>
      </c>
      <c r="G283" s="6">
        <f>IFERROR(INDEX(Puntos_Jornada!$B$2:$M$25,MATCH(Plantillas!G283,Puntos_Jornada!$A$2:$A$25,0),MATCH($A283,Puntos_Jornada!$B$1:$M$1,0)),0)</f>
        <v>0</v>
      </c>
      <c r="H283" s="6">
        <f>IFERROR(INDEX(Puntos_Jornada!$B$2:$M$25,MATCH(Plantillas!H283,Puntos_Jornada!$A$2:$A$25,0),MATCH($A283,Puntos_Jornada!$B$1:$M$1,0)),0)</f>
        <v>0</v>
      </c>
      <c r="I283" s="15">
        <f t="shared" si="4"/>
        <v>0</v>
      </c>
    </row>
    <row r="284" spans="1:9" x14ac:dyDescent="0.25">
      <c r="A284" s="6">
        <f>Plantillas!A284</f>
        <v>12</v>
      </c>
      <c r="B284" s="13" t="str">
        <f>Plantillas!B284</f>
        <v>Alumno 19</v>
      </c>
      <c r="C284" s="6">
        <f>IFERROR(INDEX(Puntos_Jornada!$B$2:$M$25,MATCH(Plantillas!C284,Puntos_Jornada!$A$2:$A$25,0),MATCH($A284,Puntos_Jornada!$B$1:$M$1,0)),0)</f>
        <v>0</v>
      </c>
      <c r="D284" s="6">
        <f>IFERROR(INDEX(Puntos_Jornada!$B$2:$M$25,MATCH(Plantillas!D284,Puntos_Jornada!$A$2:$A$25,0),MATCH($A284,Puntos_Jornada!$B$1:$M$1,0)),0)</f>
        <v>0</v>
      </c>
      <c r="E284" s="6">
        <f>IFERROR(INDEX(Puntos_Jornada!$B$2:$M$25,MATCH(Plantillas!E284,Puntos_Jornada!$A$2:$A$25,0),MATCH($A284,Puntos_Jornada!$B$1:$M$1,0)),0)</f>
        <v>0</v>
      </c>
      <c r="F284" s="6">
        <f>IFERROR(INDEX(Puntos_Jornada!$B$2:$M$25,MATCH(Plantillas!F284,Puntos_Jornada!$A$2:$A$25,0),MATCH($A284,Puntos_Jornada!$B$1:$M$1,0)),0)</f>
        <v>0</v>
      </c>
      <c r="G284" s="6">
        <f>IFERROR(INDEX(Puntos_Jornada!$B$2:$M$25,MATCH(Plantillas!G284,Puntos_Jornada!$A$2:$A$25,0),MATCH($A284,Puntos_Jornada!$B$1:$M$1,0)),0)</f>
        <v>0</v>
      </c>
      <c r="H284" s="6">
        <f>IFERROR(INDEX(Puntos_Jornada!$B$2:$M$25,MATCH(Plantillas!H284,Puntos_Jornada!$A$2:$A$25,0),MATCH($A284,Puntos_Jornada!$B$1:$M$1,0)),0)</f>
        <v>0</v>
      </c>
      <c r="I284" s="15">
        <f t="shared" si="4"/>
        <v>0</v>
      </c>
    </row>
    <row r="285" spans="1:9" x14ac:dyDescent="0.25">
      <c r="A285" s="6">
        <f>Plantillas!A285</f>
        <v>12</v>
      </c>
      <c r="B285" s="13" t="str">
        <f>Plantillas!B285</f>
        <v>Alumno 20</v>
      </c>
      <c r="C285" s="6">
        <f>IFERROR(INDEX(Puntos_Jornada!$B$2:$M$25,MATCH(Plantillas!C285,Puntos_Jornada!$A$2:$A$25,0),MATCH($A285,Puntos_Jornada!$B$1:$M$1,0)),0)</f>
        <v>0</v>
      </c>
      <c r="D285" s="6">
        <f>IFERROR(INDEX(Puntos_Jornada!$B$2:$M$25,MATCH(Plantillas!D285,Puntos_Jornada!$A$2:$A$25,0),MATCH($A285,Puntos_Jornada!$B$1:$M$1,0)),0)</f>
        <v>0</v>
      </c>
      <c r="E285" s="6">
        <f>IFERROR(INDEX(Puntos_Jornada!$B$2:$M$25,MATCH(Plantillas!E285,Puntos_Jornada!$A$2:$A$25,0),MATCH($A285,Puntos_Jornada!$B$1:$M$1,0)),0)</f>
        <v>0</v>
      </c>
      <c r="F285" s="6">
        <f>IFERROR(INDEX(Puntos_Jornada!$B$2:$M$25,MATCH(Plantillas!F285,Puntos_Jornada!$A$2:$A$25,0),MATCH($A285,Puntos_Jornada!$B$1:$M$1,0)),0)</f>
        <v>0</v>
      </c>
      <c r="G285" s="6">
        <f>IFERROR(INDEX(Puntos_Jornada!$B$2:$M$25,MATCH(Plantillas!G285,Puntos_Jornada!$A$2:$A$25,0),MATCH($A285,Puntos_Jornada!$B$1:$M$1,0)),0)</f>
        <v>0</v>
      </c>
      <c r="H285" s="6">
        <f>IFERROR(INDEX(Puntos_Jornada!$B$2:$M$25,MATCH(Plantillas!H285,Puntos_Jornada!$A$2:$A$25,0),MATCH($A285,Puntos_Jornada!$B$1:$M$1,0)),0)</f>
        <v>0</v>
      </c>
      <c r="I285" s="15">
        <f t="shared" si="4"/>
        <v>0</v>
      </c>
    </row>
    <row r="286" spans="1:9" x14ac:dyDescent="0.25">
      <c r="A286" s="6">
        <f>Plantillas!A286</f>
        <v>12</v>
      </c>
      <c r="B286" s="13" t="str">
        <f>Plantillas!B286</f>
        <v>Alumno 21</v>
      </c>
      <c r="C286" s="6">
        <f>IFERROR(INDEX(Puntos_Jornada!$B$2:$M$25,MATCH(Plantillas!C286,Puntos_Jornada!$A$2:$A$25,0),MATCH($A286,Puntos_Jornada!$B$1:$M$1,0)),0)</f>
        <v>0</v>
      </c>
      <c r="D286" s="6">
        <f>IFERROR(INDEX(Puntos_Jornada!$B$2:$M$25,MATCH(Plantillas!D286,Puntos_Jornada!$A$2:$A$25,0),MATCH($A286,Puntos_Jornada!$B$1:$M$1,0)),0)</f>
        <v>0</v>
      </c>
      <c r="E286" s="6">
        <f>IFERROR(INDEX(Puntos_Jornada!$B$2:$M$25,MATCH(Plantillas!E286,Puntos_Jornada!$A$2:$A$25,0),MATCH($A286,Puntos_Jornada!$B$1:$M$1,0)),0)</f>
        <v>0</v>
      </c>
      <c r="F286" s="6">
        <f>IFERROR(INDEX(Puntos_Jornada!$B$2:$M$25,MATCH(Plantillas!F286,Puntos_Jornada!$A$2:$A$25,0),MATCH($A286,Puntos_Jornada!$B$1:$M$1,0)),0)</f>
        <v>0</v>
      </c>
      <c r="G286" s="6">
        <f>IFERROR(INDEX(Puntos_Jornada!$B$2:$M$25,MATCH(Plantillas!G286,Puntos_Jornada!$A$2:$A$25,0),MATCH($A286,Puntos_Jornada!$B$1:$M$1,0)),0)</f>
        <v>0</v>
      </c>
      <c r="H286" s="6">
        <f>IFERROR(INDEX(Puntos_Jornada!$B$2:$M$25,MATCH(Plantillas!H286,Puntos_Jornada!$A$2:$A$25,0),MATCH($A286,Puntos_Jornada!$B$1:$M$1,0)),0)</f>
        <v>0</v>
      </c>
      <c r="I286" s="15">
        <f t="shared" si="4"/>
        <v>0</v>
      </c>
    </row>
    <row r="287" spans="1:9" x14ac:dyDescent="0.25">
      <c r="A287" s="6">
        <f>Plantillas!A287</f>
        <v>12</v>
      </c>
      <c r="B287" s="13" t="str">
        <f>Plantillas!B287</f>
        <v>Alumno 22</v>
      </c>
      <c r="C287" s="6">
        <f>IFERROR(INDEX(Puntos_Jornada!$B$2:$M$25,MATCH(Plantillas!C287,Puntos_Jornada!$A$2:$A$25,0),MATCH($A287,Puntos_Jornada!$B$1:$M$1,0)),0)</f>
        <v>0</v>
      </c>
      <c r="D287" s="6">
        <f>IFERROR(INDEX(Puntos_Jornada!$B$2:$M$25,MATCH(Plantillas!D287,Puntos_Jornada!$A$2:$A$25,0),MATCH($A287,Puntos_Jornada!$B$1:$M$1,0)),0)</f>
        <v>0</v>
      </c>
      <c r="E287" s="6">
        <f>IFERROR(INDEX(Puntos_Jornada!$B$2:$M$25,MATCH(Plantillas!E287,Puntos_Jornada!$A$2:$A$25,0),MATCH($A287,Puntos_Jornada!$B$1:$M$1,0)),0)</f>
        <v>0</v>
      </c>
      <c r="F287" s="6">
        <f>IFERROR(INDEX(Puntos_Jornada!$B$2:$M$25,MATCH(Plantillas!F287,Puntos_Jornada!$A$2:$A$25,0),MATCH($A287,Puntos_Jornada!$B$1:$M$1,0)),0)</f>
        <v>0</v>
      </c>
      <c r="G287" s="6">
        <f>IFERROR(INDEX(Puntos_Jornada!$B$2:$M$25,MATCH(Plantillas!G287,Puntos_Jornada!$A$2:$A$25,0),MATCH($A287,Puntos_Jornada!$B$1:$M$1,0)),0)</f>
        <v>0</v>
      </c>
      <c r="H287" s="6">
        <f>IFERROR(INDEX(Puntos_Jornada!$B$2:$M$25,MATCH(Plantillas!H287,Puntos_Jornada!$A$2:$A$25,0),MATCH($A287,Puntos_Jornada!$B$1:$M$1,0)),0)</f>
        <v>0</v>
      </c>
      <c r="I287" s="15">
        <f t="shared" si="4"/>
        <v>0</v>
      </c>
    </row>
    <row r="288" spans="1:9" x14ac:dyDescent="0.25">
      <c r="A288" s="6">
        <f>Plantillas!A288</f>
        <v>12</v>
      </c>
      <c r="B288" s="13" t="str">
        <f>Plantillas!B288</f>
        <v>Alumno 23</v>
      </c>
      <c r="C288" s="6">
        <f>IFERROR(INDEX(Puntos_Jornada!$B$2:$M$25,MATCH(Plantillas!C288,Puntos_Jornada!$A$2:$A$25,0),MATCH($A288,Puntos_Jornada!$B$1:$M$1,0)),0)</f>
        <v>0</v>
      </c>
      <c r="D288" s="6">
        <f>IFERROR(INDEX(Puntos_Jornada!$B$2:$M$25,MATCH(Plantillas!D288,Puntos_Jornada!$A$2:$A$25,0),MATCH($A288,Puntos_Jornada!$B$1:$M$1,0)),0)</f>
        <v>0</v>
      </c>
      <c r="E288" s="6">
        <f>IFERROR(INDEX(Puntos_Jornada!$B$2:$M$25,MATCH(Plantillas!E288,Puntos_Jornada!$A$2:$A$25,0),MATCH($A288,Puntos_Jornada!$B$1:$M$1,0)),0)</f>
        <v>0</v>
      </c>
      <c r="F288" s="6">
        <f>IFERROR(INDEX(Puntos_Jornada!$B$2:$M$25,MATCH(Plantillas!F288,Puntos_Jornada!$A$2:$A$25,0),MATCH($A288,Puntos_Jornada!$B$1:$M$1,0)),0)</f>
        <v>0</v>
      </c>
      <c r="G288" s="6">
        <f>IFERROR(INDEX(Puntos_Jornada!$B$2:$M$25,MATCH(Plantillas!G288,Puntos_Jornada!$A$2:$A$25,0),MATCH($A288,Puntos_Jornada!$B$1:$M$1,0)),0)</f>
        <v>0</v>
      </c>
      <c r="H288" s="6">
        <f>IFERROR(INDEX(Puntos_Jornada!$B$2:$M$25,MATCH(Plantillas!H288,Puntos_Jornada!$A$2:$A$25,0),MATCH($A288,Puntos_Jornada!$B$1:$M$1,0)),0)</f>
        <v>0</v>
      </c>
      <c r="I288" s="15">
        <f t="shared" si="4"/>
        <v>0</v>
      </c>
    </row>
    <row r="289" spans="1:9" x14ac:dyDescent="0.25">
      <c r="A289" s="6">
        <f>Plantillas!A289</f>
        <v>12</v>
      </c>
      <c r="B289" s="13" t="str">
        <f>Plantillas!B289</f>
        <v>Alumno 24</v>
      </c>
      <c r="C289" s="6">
        <f>IFERROR(INDEX(Puntos_Jornada!$B$2:$M$25,MATCH(Plantillas!C289,Puntos_Jornada!$A$2:$A$25,0),MATCH($A289,Puntos_Jornada!$B$1:$M$1,0)),0)</f>
        <v>0</v>
      </c>
      <c r="D289" s="6">
        <f>IFERROR(INDEX(Puntos_Jornada!$B$2:$M$25,MATCH(Plantillas!D289,Puntos_Jornada!$A$2:$A$25,0),MATCH($A289,Puntos_Jornada!$B$1:$M$1,0)),0)</f>
        <v>0</v>
      </c>
      <c r="E289" s="6">
        <f>IFERROR(INDEX(Puntos_Jornada!$B$2:$M$25,MATCH(Plantillas!E289,Puntos_Jornada!$A$2:$A$25,0),MATCH($A289,Puntos_Jornada!$B$1:$M$1,0)),0)</f>
        <v>0</v>
      </c>
      <c r="F289" s="6">
        <f>IFERROR(INDEX(Puntos_Jornada!$B$2:$M$25,MATCH(Plantillas!F289,Puntos_Jornada!$A$2:$A$25,0),MATCH($A289,Puntos_Jornada!$B$1:$M$1,0)),0)</f>
        <v>0</v>
      </c>
      <c r="G289" s="6">
        <f>IFERROR(INDEX(Puntos_Jornada!$B$2:$M$25,MATCH(Plantillas!G289,Puntos_Jornada!$A$2:$A$25,0),MATCH($A289,Puntos_Jornada!$B$1:$M$1,0)),0)</f>
        <v>0</v>
      </c>
      <c r="H289" s="6">
        <f>IFERROR(INDEX(Puntos_Jornada!$B$2:$M$25,MATCH(Plantillas!H289,Puntos_Jornada!$A$2:$A$25,0),MATCH($A289,Puntos_Jornada!$B$1:$M$1,0)),0)</f>
        <v>0</v>
      </c>
      <c r="I289" s="15">
        <f t="shared" si="4"/>
        <v>0</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5"/>
  <sheetViews>
    <sheetView zoomScaleNormal="100" workbookViewId="0">
      <pane ySplit="1" topLeftCell="A2" activePane="bottomLeft" state="frozen"/>
      <selection pane="bottomLeft" activeCell="B5" sqref="B5"/>
    </sheetView>
  </sheetViews>
  <sheetFormatPr baseColWidth="10" defaultColWidth="8.7109375" defaultRowHeight="15" x14ac:dyDescent="0.25"/>
  <cols>
    <col min="1" max="1" width="18" customWidth="1"/>
    <col min="2" max="2" width="22" customWidth="1"/>
    <col min="3" max="3" width="12" customWidth="1"/>
  </cols>
  <sheetData>
    <row r="1" spans="1:3" ht="30" x14ac:dyDescent="0.25">
      <c r="A1" s="5" t="s">
        <v>63</v>
      </c>
      <c r="B1" s="5" t="s">
        <v>80</v>
      </c>
      <c r="C1" s="5" t="s">
        <v>84</v>
      </c>
    </row>
    <row r="2" spans="1:3" x14ac:dyDescent="0.25">
      <c r="A2" s="6" t="str">
        <f>Alumnos!B2</f>
        <v>Alumno 1</v>
      </c>
      <c r="B2" s="6">
        <f>SUMIFS(Clasificacion!$I$2:$I$289,Clasificacion!$B$2:$B$289,A2)</f>
        <v>24</v>
      </c>
      <c r="C2" s="6">
        <f t="shared" ref="C2:C25" si="0">RANK(B2,$B$2:$B$25,0)</f>
        <v>1</v>
      </c>
    </row>
    <row r="3" spans="1:3" x14ac:dyDescent="0.25">
      <c r="A3" s="6" t="str">
        <f>Alumnos!B3</f>
        <v>Alumno 2</v>
      </c>
      <c r="B3" s="6">
        <f>SUMIFS(Clasificacion!$I$2:$I$289,Clasificacion!$B$2:$B$289,A3)</f>
        <v>0</v>
      </c>
      <c r="C3" s="6">
        <f t="shared" si="0"/>
        <v>2</v>
      </c>
    </row>
    <row r="4" spans="1:3" x14ac:dyDescent="0.25">
      <c r="A4" s="6" t="str">
        <f>Alumnos!B4</f>
        <v>Alumno 3</v>
      </c>
      <c r="B4" s="6">
        <f>SUMIFS(Clasificacion!$I$2:$I$289,Clasificacion!$B$2:$B$289,A4)</f>
        <v>0</v>
      </c>
      <c r="C4" s="6">
        <f t="shared" si="0"/>
        <v>2</v>
      </c>
    </row>
    <row r="5" spans="1:3" x14ac:dyDescent="0.25">
      <c r="A5" s="6" t="str">
        <f>Alumnos!B5</f>
        <v>Alumno 4</v>
      </c>
      <c r="B5" s="6">
        <f>SUMIFS(Clasificacion!$I$2:$I$289,Clasificacion!$B$2:$B$289,A5)</f>
        <v>0</v>
      </c>
      <c r="C5" s="6">
        <f t="shared" si="0"/>
        <v>2</v>
      </c>
    </row>
    <row r="6" spans="1:3" x14ac:dyDescent="0.25">
      <c r="A6" s="6" t="str">
        <f>Alumnos!B6</f>
        <v>Alumno 5</v>
      </c>
      <c r="B6" s="6">
        <f>SUMIFS(Clasificacion!$I$2:$I$289,Clasificacion!$B$2:$B$289,A6)</f>
        <v>0</v>
      </c>
      <c r="C6" s="6">
        <f t="shared" si="0"/>
        <v>2</v>
      </c>
    </row>
    <row r="7" spans="1:3" x14ac:dyDescent="0.25">
      <c r="A7" s="6" t="str">
        <f>Alumnos!B7</f>
        <v>Alumno 6</v>
      </c>
      <c r="B7" s="6">
        <f>SUMIFS(Clasificacion!$I$2:$I$289,Clasificacion!$B$2:$B$289,A7)</f>
        <v>0</v>
      </c>
      <c r="C7" s="6">
        <f t="shared" si="0"/>
        <v>2</v>
      </c>
    </row>
    <row r="8" spans="1:3" x14ac:dyDescent="0.25">
      <c r="A8" s="6" t="str">
        <f>Alumnos!B8</f>
        <v>Alumno 7</v>
      </c>
      <c r="B8" s="6">
        <f>SUMIFS(Clasificacion!$I$2:$I$289,Clasificacion!$B$2:$B$289,A8)</f>
        <v>0</v>
      </c>
      <c r="C8" s="6">
        <f t="shared" si="0"/>
        <v>2</v>
      </c>
    </row>
    <row r="9" spans="1:3" x14ac:dyDescent="0.25">
      <c r="A9" s="6" t="str">
        <f>Alumnos!B9</f>
        <v>Alumno 8</v>
      </c>
      <c r="B9" s="6">
        <f>SUMIFS(Clasificacion!$I$2:$I$289,Clasificacion!$B$2:$B$289,A9)</f>
        <v>0</v>
      </c>
      <c r="C9" s="6">
        <f t="shared" si="0"/>
        <v>2</v>
      </c>
    </row>
    <row r="10" spans="1:3" x14ac:dyDescent="0.25">
      <c r="A10" s="6" t="str">
        <f>Alumnos!B10</f>
        <v>Alumno 9</v>
      </c>
      <c r="B10" s="6">
        <f>SUMIFS(Clasificacion!$I$2:$I$289,Clasificacion!$B$2:$B$289,A10)</f>
        <v>0</v>
      </c>
      <c r="C10" s="6">
        <f t="shared" si="0"/>
        <v>2</v>
      </c>
    </row>
    <row r="11" spans="1:3" x14ac:dyDescent="0.25">
      <c r="A11" s="6" t="str">
        <f>Alumnos!B11</f>
        <v>Alumno 10</v>
      </c>
      <c r="B11" s="6">
        <f>SUMIFS(Clasificacion!$I$2:$I$289,Clasificacion!$B$2:$B$289,A11)</f>
        <v>0</v>
      </c>
      <c r="C11" s="6">
        <f t="shared" si="0"/>
        <v>2</v>
      </c>
    </row>
    <row r="12" spans="1:3" x14ac:dyDescent="0.25">
      <c r="A12" s="6" t="str">
        <f>Alumnos!B12</f>
        <v>Alumno 11</v>
      </c>
      <c r="B12" s="6">
        <f>SUMIFS(Clasificacion!$I$2:$I$289,Clasificacion!$B$2:$B$289,A12)</f>
        <v>0</v>
      </c>
      <c r="C12" s="6">
        <f t="shared" si="0"/>
        <v>2</v>
      </c>
    </row>
    <row r="13" spans="1:3" x14ac:dyDescent="0.25">
      <c r="A13" s="6" t="str">
        <f>Alumnos!B13</f>
        <v>Alumno 12</v>
      </c>
      <c r="B13" s="6">
        <f>SUMIFS(Clasificacion!$I$2:$I$289,Clasificacion!$B$2:$B$289,A13)</f>
        <v>0</v>
      </c>
      <c r="C13" s="6">
        <f t="shared" si="0"/>
        <v>2</v>
      </c>
    </row>
    <row r="14" spans="1:3" x14ac:dyDescent="0.25">
      <c r="A14" s="6" t="str">
        <f>Alumnos!B14</f>
        <v>Alumno 13</v>
      </c>
      <c r="B14" s="6">
        <f>SUMIFS(Clasificacion!$I$2:$I$289,Clasificacion!$B$2:$B$289,A14)</f>
        <v>0</v>
      </c>
      <c r="C14" s="6">
        <f t="shared" si="0"/>
        <v>2</v>
      </c>
    </row>
    <row r="15" spans="1:3" x14ac:dyDescent="0.25">
      <c r="A15" s="6" t="str">
        <f>Alumnos!B15</f>
        <v>Alumno 14</v>
      </c>
      <c r="B15" s="6">
        <f>SUMIFS(Clasificacion!$I$2:$I$289,Clasificacion!$B$2:$B$289,A15)</f>
        <v>0</v>
      </c>
      <c r="C15" s="6">
        <f t="shared" si="0"/>
        <v>2</v>
      </c>
    </row>
    <row r="16" spans="1:3" x14ac:dyDescent="0.25">
      <c r="A16" s="6" t="str">
        <f>Alumnos!B16</f>
        <v>Alumno 15</v>
      </c>
      <c r="B16" s="6">
        <f>SUMIFS(Clasificacion!$I$2:$I$289,Clasificacion!$B$2:$B$289,A16)</f>
        <v>0</v>
      </c>
      <c r="C16" s="6">
        <f t="shared" si="0"/>
        <v>2</v>
      </c>
    </row>
    <row r="17" spans="1:3" x14ac:dyDescent="0.25">
      <c r="A17" s="6" t="str">
        <f>Alumnos!B17</f>
        <v>Alumno 16</v>
      </c>
      <c r="B17" s="6">
        <f>SUMIFS(Clasificacion!$I$2:$I$289,Clasificacion!$B$2:$B$289,A17)</f>
        <v>0</v>
      </c>
      <c r="C17" s="6">
        <f t="shared" si="0"/>
        <v>2</v>
      </c>
    </row>
    <row r="18" spans="1:3" x14ac:dyDescent="0.25">
      <c r="A18" s="6" t="str">
        <f>Alumnos!B18</f>
        <v>Alumno 17</v>
      </c>
      <c r="B18" s="6">
        <f>SUMIFS(Clasificacion!$I$2:$I$289,Clasificacion!$B$2:$B$289,A18)</f>
        <v>0</v>
      </c>
      <c r="C18" s="6">
        <f t="shared" si="0"/>
        <v>2</v>
      </c>
    </row>
    <row r="19" spans="1:3" x14ac:dyDescent="0.25">
      <c r="A19" s="6" t="str">
        <f>Alumnos!B19</f>
        <v>Alumno 18</v>
      </c>
      <c r="B19" s="6">
        <f>SUMIFS(Clasificacion!$I$2:$I$289,Clasificacion!$B$2:$B$289,A19)</f>
        <v>0</v>
      </c>
      <c r="C19" s="6">
        <f t="shared" si="0"/>
        <v>2</v>
      </c>
    </row>
    <row r="20" spans="1:3" x14ac:dyDescent="0.25">
      <c r="A20" s="6" t="str">
        <f>Alumnos!B20</f>
        <v>Alumno 19</v>
      </c>
      <c r="B20" s="6">
        <f>SUMIFS(Clasificacion!$I$2:$I$289,Clasificacion!$B$2:$B$289,A20)</f>
        <v>0</v>
      </c>
      <c r="C20" s="6">
        <f t="shared" si="0"/>
        <v>2</v>
      </c>
    </row>
    <row r="21" spans="1:3" x14ac:dyDescent="0.25">
      <c r="A21" s="6" t="str">
        <f>Alumnos!B21</f>
        <v>Alumno 20</v>
      </c>
      <c r="B21" s="6">
        <f>SUMIFS(Clasificacion!$I$2:$I$289,Clasificacion!$B$2:$B$289,A21)</f>
        <v>0</v>
      </c>
      <c r="C21" s="6">
        <f t="shared" si="0"/>
        <v>2</v>
      </c>
    </row>
    <row r="22" spans="1:3" x14ac:dyDescent="0.25">
      <c r="A22" s="6" t="str">
        <f>Alumnos!B22</f>
        <v>Alumno 21</v>
      </c>
      <c r="B22" s="6">
        <f>SUMIFS(Clasificacion!$I$2:$I$289,Clasificacion!$B$2:$B$289,A22)</f>
        <v>0</v>
      </c>
      <c r="C22" s="6">
        <f t="shared" si="0"/>
        <v>2</v>
      </c>
    </row>
    <row r="23" spans="1:3" x14ac:dyDescent="0.25">
      <c r="A23" s="6" t="str">
        <f>Alumnos!B23</f>
        <v>Alumno 22</v>
      </c>
      <c r="B23" s="6">
        <f>SUMIFS(Clasificacion!$I$2:$I$289,Clasificacion!$B$2:$B$289,A23)</f>
        <v>0</v>
      </c>
      <c r="C23" s="6">
        <f t="shared" si="0"/>
        <v>2</v>
      </c>
    </row>
    <row r="24" spans="1:3" x14ac:dyDescent="0.25">
      <c r="A24" s="6" t="str">
        <f>Alumnos!B24</f>
        <v>Alumno 23</v>
      </c>
      <c r="B24" s="6">
        <f>SUMIFS(Clasificacion!$I$2:$I$289,Clasificacion!$B$2:$B$289,A24)</f>
        <v>0</v>
      </c>
      <c r="C24" s="6">
        <f t="shared" si="0"/>
        <v>2</v>
      </c>
    </row>
    <row r="25" spans="1:3" x14ac:dyDescent="0.25">
      <c r="A25" s="6" t="str">
        <f>Alumnos!B25</f>
        <v>Alumno 24</v>
      </c>
      <c r="B25" s="6">
        <f>SUMIFS(Clasificacion!$I$2:$I$289,Clasificacion!$B$2:$B$289,A25)</f>
        <v>0</v>
      </c>
      <c r="C25" s="6">
        <f t="shared" si="0"/>
        <v>2</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5"/>
  <sheetViews>
    <sheetView zoomScaleNormal="100" workbookViewId="0">
      <pane ySplit="1" topLeftCell="A2" activePane="bottomLeft" state="frozen"/>
      <selection pane="bottomLeft" activeCell="B11" sqref="B11"/>
    </sheetView>
  </sheetViews>
  <sheetFormatPr baseColWidth="10" defaultColWidth="8.7109375" defaultRowHeight="15" x14ac:dyDescent="0.25"/>
  <cols>
    <col min="1" max="1" width="18" customWidth="1"/>
    <col min="2" max="2" width="26" customWidth="1"/>
    <col min="3" max="3" width="18" customWidth="1"/>
  </cols>
  <sheetData>
    <row r="1" spans="1:3" ht="30" x14ac:dyDescent="0.25">
      <c r="A1" s="5" t="s">
        <v>60</v>
      </c>
      <c r="B1" s="5" t="s">
        <v>81</v>
      </c>
      <c r="C1" s="5" t="s">
        <v>82</v>
      </c>
    </row>
    <row r="2" spans="1:3" x14ac:dyDescent="0.25">
      <c r="A2" s="13" t="str">
        <f>Alumnos!B2</f>
        <v>Alumno 1</v>
      </c>
      <c r="B2" s="6">
        <f>COUNTIF(Plantillas!$C$2:$C$289,A2)+COUNTIF(Plantillas!$D$2:$D$289,A2)+COUNTIF(Plantillas!$E$2:$E$289,A2)+COUNTIF(Plantillas!$F$2:$F$289,A2)+COUNTIF(Plantillas!$G$2:$G$289,A2)</f>
        <v>2</v>
      </c>
      <c r="C2" s="6" t="str">
        <f t="shared" ref="C2:C25" si="0">IF(B2=0,"NO SELECCIONADO","OK")</f>
        <v>OK</v>
      </c>
    </row>
    <row r="3" spans="1:3" x14ac:dyDescent="0.25">
      <c r="A3" s="13" t="str">
        <f>Alumnos!B3</f>
        <v>Alumno 2</v>
      </c>
      <c r="B3" s="6">
        <f>COUNTIF(Plantillas!$C$2:$C$289,A3)+COUNTIF(Plantillas!$D$2:$D$289,A3)+COUNTIF(Plantillas!$E$2:$E$289,A3)+COUNTIF(Plantillas!$F$2:$F$289,A3)+COUNTIF(Plantillas!$G$2:$G$289,A3)</f>
        <v>0</v>
      </c>
      <c r="C3" s="6" t="str">
        <f t="shared" si="0"/>
        <v>NO SELECCIONADO</v>
      </c>
    </row>
    <row r="4" spans="1:3" x14ac:dyDescent="0.25">
      <c r="A4" s="13" t="str">
        <f>Alumnos!B4</f>
        <v>Alumno 3</v>
      </c>
      <c r="B4" s="6">
        <f>COUNTIF(Plantillas!$C$2:$C$289,A4)+COUNTIF(Plantillas!$D$2:$D$289,A4)+COUNTIF(Plantillas!$E$2:$E$289,A4)+COUNTIF(Plantillas!$F$2:$F$289,A4)+COUNTIF(Plantillas!$G$2:$G$289,A4)</f>
        <v>1</v>
      </c>
      <c r="C4" s="6" t="str">
        <f t="shared" si="0"/>
        <v>OK</v>
      </c>
    </row>
    <row r="5" spans="1:3" x14ac:dyDescent="0.25">
      <c r="A5" s="13" t="str">
        <f>Alumnos!B5</f>
        <v>Alumno 4</v>
      </c>
      <c r="B5" s="6">
        <f>COUNTIF(Plantillas!$C$2:$C$289,A5)+COUNTIF(Plantillas!$D$2:$D$289,A5)+COUNTIF(Plantillas!$E$2:$E$289,A5)+COUNTIF(Plantillas!$F$2:$F$289,A5)+COUNTIF(Plantillas!$G$2:$G$289,A5)</f>
        <v>1</v>
      </c>
      <c r="C5" s="6" t="str">
        <f t="shared" si="0"/>
        <v>OK</v>
      </c>
    </row>
    <row r="6" spans="1:3" x14ac:dyDescent="0.25">
      <c r="A6" s="13" t="str">
        <f>Alumnos!B6</f>
        <v>Alumno 5</v>
      </c>
      <c r="B6" s="6">
        <f>COUNTIF(Plantillas!$C$2:$C$289,A6)+COUNTIF(Plantillas!$D$2:$D$289,A6)+COUNTIF(Plantillas!$E$2:$E$289,A6)+COUNTIF(Plantillas!$F$2:$F$289,A6)+COUNTIF(Plantillas!$G$2:$G$289,A6)</f>
        <v>0</v>
      </c>
      <c r="C6" s="6" t="str">
        <f t="shared" si="0"/>
        <v>NO SELECCIONADO</v>
      </c>
    </row>
    <row r="7" spans="1:3" x14ac:dyDescent="0.25">
      <c r="A7" s="13" t="str">
        <f>Alumnos!B7</f>
        <v>Alumno 6</v>
      </c>
      <c r="B7" s="6">
        <f>COUNTIF(Plantillas!$C$2:$C$289,A7)+COUNTIF(Plantillas!$D$2:$D$289,A7)+COUNTIF(Plantillas!$E$2:$E$289,A7)+COUNTIF(Plantillas!$F$2:$F$289,A7)+COUNTIF(Plantillas!$G$2:$G$289,A7)</f>
        <v>0</v>
      </c>
      <c r="C7" s="6" t="str">
        <f t="shared" si="0"/>
        <v>NO SELECCIONADO</v>
      </c>
    </row>
    <row r="8" spans="1:3" x14ac:dyDescent="0.25">
      <c r="A8" s="13" t="str">
        <f>Alumnos!B8</f>
        <v>Alumno 7</v>
      </c>
      <c r="B8" s="6">
        <f>COUNTIF(Plantillas!$C$2:$C$289,A8)+COUNTIF(Plantillas!$D$2:$D$289,A8)+COUNTIF(Plantillas!$E$2:$E$289,A8)+COUNTIF(Plantillas!$F$2:$F$289,A8)+COUNTIF(Plantillas!$G$2:$G$289,A8)</f>
        <v>0</v>
      </c>
      <c r="C8" s="6" t="str">
        <f t="shared" si="0"/>
        <v>NO SELECCIONADO</v>
      </c>
    </row>
    <row r="9" spans="1:3" x14ac:dyDescent="0.25">
      <c r="A9" s="13" t="str">
        <f>Alumnos!B9</f>
        <v>Alumno 8</v>
      </c>
      <c r="B9" s="6">
        <f>COUNTIF(Plantillas!$C$2:$C$289,A9)+COUNTIF(Plantillas!$D$2:$D$289,A9)+COUNTIF(Plantillas!$E$2:$E$289,A9)+COUNTIF(Plantillas!$F$2:$F$289,A9)+COUNTIF(Plantillas!$G$2:$G$289,A9)</f>
        <v>0</v>
      </c>
      <c r="C9" s="6" t="str">
        <f t="shared" si="0"/>
        <v>NO SELECCIONADO</v>
      </c>
    </row>
    <row r="10" spans="1:3" x14ac:dyDescent="0.25">
      <c r="A10" s="13" t="str">
        <f>Alumnos!B10</f>
        <v>Alumno 9</v>
      </c>
      <c r="B10" s="6">
        <f>COUNTIF(Plantillas!$C$2:$C$289,A10)+COUNTIF(Plantillas!$D$2:$D$289,A10)+COUNTIF(Plantillas!$E$2:$E$289,A10)+COUNTIF(Plantillas!$F$2:$F$289,A10)+COUNTIF(Plantillas!$G$2:$G$289,A10)</f>
        <v>0</v>
      </c>
      <c r="C10" s="6" t="str">
        <f t="shared" si="0"/>
        <v>NO SELECCIONADO</v>
      </c>
    </row>
    <row r="11" spans="1:3" x14ac:dyDescent="0.25">
      <c r="A11" s="13" t="str">
        <f>Alumnos!B11</f>
        <v>Alumno 10</v>
      </c>
      <c r="B11" s="6">
        <f>COUNTIF(Plantillas!$C$2:$C$289,A11)+COUNTIF(Plantillas!$D$2:$D$289,A11)+COUNTIF(Plantillas!$E$2:$E$289,A11)+COUNTIF(Plantillas!$F$2:$F$289,A11)+COUNTIF(Plantillas!$G$2:$G$289,A11)</f>
        <v>1</v>
      </c>
      <c r="C11" s="6" t="str">
        <f t="shared" si="0"/>
        <v>OK</v>
      </c>
    </row>
    <row r="12" spans="1:3" x14ac:dyDescent="0.25">
      <c r="A12" s="13" t="str">
        <f>Alumnos!B12</f>
        <v>Alumno 11</v>
      </c>
      <c r="B12" s="6">
        <f>COUNTIF(Plantillas!$C$2:$C$289,A12)+COUNTIF(Plantillas!$D$2:$D$289,A12)+COUNTIF(Plantillas!$E$2:$E$289,A12)+COUNTIF(Plantillas!$F$2:$F$289,A12)+COUNTIF(Plantillas!$G$2:$G$289,A12)</f>
        <v>0</v>
      </c>
      <c r="C12" s="6" t="str">
        <f t="shared" si="0"/>
        <v>NO SELECCIONADO</v>
      </c>
    </row>
    <row r="13" spans="1:3" x14ac:dyDescent="0.25">
      <c r="A13" s="13" t="str">
        <f>Alumnos!B13</f>
        <v>Alumno 12</v>
      </c>
      <c r="B13" s="6">
        <f>COUNTIF(Plantillas!$C$2:$C$289,A13)+COUNTIF(Plantillas!$D$2:$D$289,A13)+COUNTIF(Plantillas!$E$2:$E$289,A13)+COUNTIF(Plantillas!$F$2:$F$289,A13)+COUNTIF(Plantillas!$G$2:$G$289,A13)</f>
        <v>0</v>
      </c>
      <c r="C13" s="6" t="str">
        <f t="shared" si="0"/>
        <v>NO SELECCIONADO</v>
      </c>
    </row>
    <row r="14" spans="1:3" x14ac:dyDescent="0.25">
      <c r="A14" s="13" t="str">
        <f>Alumnos!B14</f>
        <v>Alumno 13</v>
      </c>
      <c r="B14" s="6">
        <f>COUNTIF(Plantillas!$C$2:$C$289,A14)+COUNTIF(Plantillas!$D$2:$D$289,A14)+COUNTIF(Plantillas!$E$2:$E$289,A14)+COUNTIF(Plantillas!$F$2:$F$289,A14)+COUNTIF(Plantillas!$G$2:$G$289,A14)</f>
        <v>0</v>
      </c>
      <c r="C14" s="6" t="str">
        <f t="shared" si="0"/>
        <v>NO SELECCIONADO</v>
      </c>
    </row>
    <row r="15" spans="1:3" x14ac:dyDescent="0.25">
      <c r="A15" s="13" t="str">
        <f>Alumnos!B15</f>
        <v>Alumno 14</v>
      </c>
      <c r="B15" s="6">
        <f>COUNTIF(Plantillas!$C$2:$C$289,A15)+COUNTIF(Plantillas!$D$2:$D$289,A15)+COUNTIF(Plantillas!$E$2:$E$289,A15)+COUNTIF(Plantillas!$F$2:$F$289,A15)+COUNTIF(Plantillas!$G$2:$G$289,A15)</f>
        <v>0</v>
      </c>
      <c r="C15" s="6" t="str">
        <f t="shared" si="0"/>
        <v>NO SELECCIONADO</v>
      </c>
    </row>
    <row r="16" spans="1:3" x14ac:dyDescent="0.25">
      <c r="A16" s="13" t="str">
        <f>Alumnos!B16</f>
        <v>Alumno 15</v>
      </c>
      <c r="B16" s="6">
        <f>COUNTIF(Plantillas!$C$2:$C$289,A16)+COUNTIF(Plantillas!$D$2:$D$289,A16)+COUNTIF(Plantillas!$E$2:$E$289,A16)+COUNTIF(Plantillas!$F$2:$F$289,A16)+COUNTIF(Plantillas!$G$2:$G$289,A16)</f>
        <v>0</v>
      </c>
      <c r="C16" s="6" t="str">
        <f t="shared" si="0"/>
        <v>NO SELECCIONADO</v>
      </c>
    </row>
    <row r="17" spans="1:3" x14ac:dyDescent="0.25">
      <c r="A17" s="13" t="str">
        <f>Alumnos!B17</f>
        <v>Alumno 16</v>
      </c>
      <c r="B17" s="6">
        <f>COUNTIF(Plantillas!$C$2:$C$289,A17)+COUNTIF(Plantillas!$D$2:$D$289,A17)+COUNTIF(Plantillas!$E$2:$E$289,A17)+COUNTIF(Plantillas!$F$2:$F$289,A17)+COUNTIF(Plantillas!$G$2:$G$289,A17)</f>
        <v>0</v>
      </c>
      <c r="C17" s="6" t="str">
        <f t="shared" si="0"/>
        <v>NO SELECCIONADO</v>
      </c>
    </row>
    <row r="18" spans="1:3" x14ac:dyDescent="0.25">
      <c r="A18" s="13" t="str">
        <f>Alumnos!B18</f>
        <v>Alumno 17</v>
      </c>
      <c r="B18" s="6">
        <f>COUNTIF(Plantillas!$C$2:$C$289,A18)+COUNTIF(Plantillas!$D$2:$D$289,A18)+COUNTIF(Plantillas!$E$2:$E$289,A18)+COUNTIF(Plantillas!$F$2:$F$289,A18)+COUNTIF(Plantillas!$G$2:$G$289,A18)</f>
        <v>0</v>
      </c>
      <c r="C18" s="6" t="str">
        <f t="shared" si="0"/>
        <v>NO SELECCIONADO</v>
      </c>
    </row>
    <row r="19" spans="1:3" x14ac:dyDescent="0.25">
      <c r="A19" s="13" t="str">
        <f>Alumnos!B19</f>
        <v>Alumno 18</v>
      </c>
      <c r="B19" s="6">
        <f>COUNTIF(Plantillas!$C$2:$C$289,A19)+COUNTIF(Plantillas!$D$2:$D$289,A19)+COUNTIF(Plantillas!$E$2:$E$289,A19)+COUNTIF(Plantillas!$F$2:$F$289,A19)+COUNTIF(Plantillas!$G$2:$G$289,A19)</f>
        <v>0</v>
      </c>
      <c r="C19" s="6" t="str">
        <f t="shared" si="0"/>
        <v>NO SELECCIONADO</v>
      </c>
    </row>
    <row r="20" spans="1:3" x14ac:dyDescent="0.25">
      <c r="A20" s="13" t="str">
        <f>Alumnos!B20</f>
        <v>Alumno 19</v>
      </c>
      <c r="B20" s="6">
        <f>COUNTIF(Plantillas!$C$2:$C$289,A20)+COUNTIF(Plantillas!$D$2:$D$289,A20)+COUNTIF(Plantillas!$E$2:$E$289,A20)+COUNTIF(Plantillas!$F$2:$F$289,A20)+COUNTIF(Plantillas!$G$2:$G$289,A20)</f>
        <v>0</v>
      </c>
      <c r="C20" s="6" t="str">
        <f t="shared" si="0"/>
        <v>NO SELECCIONADO</v>
      </c>
    </row>
    <row r="21" spans="1:3" x14ac:dyDescent="0.25">
      <c r="A21" s="13" t="str">
        <f>Alumnos!B21</f>
        <v>Alumno 20</v>
      </c>
      <c r="B21" s="6">
        <f>COUNTIF(Plantillas!$C$2:$C$289,A21)+COUNTIF(Plantillas!$D$2:$D$289,A21)+COUNTIF(Plantillas!$E$2:$E$289,A21)+COUNTIF(Plantillas!$F$2:$F$289,A21)+COUNTIF(Plantillas!$G$2:$G$289,A21)</f>
        <v>0</v>
      </c>
      <c r="C21" s="6" t="str">
        <f t="shared" si="0"/>
        <v>NO SELECCIONADO</v>
      </c>
    </row>
    <row r="22" spans="1:3" x14ac:dyDescent="0.25">
      <c r="A22" s="13" t="str">
        <f>Alumnos!B22</f>
        <v>Alumno 21</v>
      </c>
      <c r="B22" s="6">
        <f>COUNTIF(Plantillas!$C$2:$C$289,A22)+COUNTIF(Plantillas!$D$2:$D$289,A22)+COUNTIF(Plantillas!$E$2:$E$289,A22)+COUNTIF(Plantillas!$F$2:$F$289,A22)+COUNTIF(Plantillas!$G$2:$G$289,A22)</f>
        <v>0</v>
      </c>
      <c r="C22" s="6" t="str">
        <f t="shared" si="0"/>
        <v>NO SELECCIONADO</v>
      </c>
    </row>
    <row r="23" spans="1:3" x14ac:dyDescent="0.25">
      <c r="A23" s="13" t="str">
        <f>Alumnos!B23</f>
        <v>Alumno 22</v>
      </c>
      <c r="B23" s="6">
        <f>COUNTIF(Plantillas!$C$2:$C$289,A23)+COUNTIF(Plantillas!$D$2:$D$289,A23)+COUNTIF(Plantillas!$E$2:$E$289,A23)+COUNTIF(Plantillas!$F$2:$F$289,A23)+COUNTIF(Plantillas!$G$2:$G$289,A23)</f>
        <v>0</v>
      </c>
      <c r="C23" s="6" t="str">
        <f t="shared" si="0"/>
        <v>NO SELECCIONADO</v>
      </c>
    </row>
    <row r="24" spans="1:3" x14ac:dyDescent="0.25">
      <c r="A24" s="13" t="str">
        <f>Alumnos!B24</f>
        <v>Alumno 23</v>
      </c>
      <c r="B24" s="6">
        <f>COUNTIF(Plantillas!$C$2:$C$289,A24)+COUNTIF(Plantillas!$D$2:$D$289,A24)+COUNTIF(Plantillas!$E$2:$E$289,A24)+COUNTIF(Plantillas!$F$2:$F$289,A24)+COUNTIF(Plantillas!$G$2:$G$289,A24)</f>
        <v>0</v>
      </c>
      <c r="C24" s="6" t="str">
        <f t="shared" si="0"/>
        <v>NO SELECCIONADO</v>
      </c>
    </row>
    <row r="25" spans="1:3" x14ac:dyDescent="0.25">
      <c r="A25" s="13" t="str">
        <f>Alumnos!B25</f>
        <v>Alumno 24</v>
      </c>
      <c r="B25" s="6">
        <f>COUNTIF(Plantillas!$C$2:$C$289,A25)+COUNTIF(Plantillas!$D$2:$D$289,A25)+COUNTIF(Plantillas!$E$2:$E$289,A25)+COUNTIF(Plantillas!$F$2:$F$289,A25)+COUNTIF(Plantillas!$G$2:$G$289,A25)</f>
        <v>0</v>
      </c>
      <c r="C25" s="6" t="str">
        <f t="shared" si="0"/>
        <v>NO SELECCIONADO</v>
      </c>
    </row>
  </sheetData>
  <conditionalFormatting sqref="C2:C25">
    <cfRule type="cellIs" dxfId="1" priority="2" operator="equal">
      <formula>"OK"</formula>
    </cfRule>
    <cfRule type="cellIs" dxfId="0" priority="3" operator="equal">
      <formula>"NO SELECCIONADO"</formula>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Instrucciones</vt:lpstr>
      <vt:lpstr>Alumnos</vt:lpstr>
      <vt:lpstr>Config_Puntos</vt:lpstr>
      <vt:lpstr>Calendario</vt:lpstr>
      <vt:lpstr>Eventos</vt:lpstr>
      <vt:lpstr>Plantillas</vt:lpstr>
      <vt:lpstr>Puntos_Jornada</vt:lpstr>
      <vt:lpstr>Clasificacion</vt:lpstr>
      <vt:lpstr>Clasificacion_General</vt:lpstr>
      <vt:lpstr>Validacion_Seleccion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Álvaro Delgado Cano</cp:lastModifiedBy>
  <cp:revision>0</cp:revision>
  <dcterms:created xsi:type="dcterms:W3CDTF">2026-09-08T10:40:39Z</dcterms:created>
  <dcterms:modified xsi:type="dcterms:W3CDTF">2026-09-11T07:40:19Z</dcterms:modified>
  <dc:language>en-US</dc:language>
</cp:coreProperties>
</file>